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aio\Documents\Documentos\XP\Raio-XP\valuation_nov26\05_alvo_fim2027\"/>
    </mc:Choice>
  </mc:AlternateContent>
  <xr:revisionPtr revIDLastSave="0" documentId="13_ncr:1_{E16046CB-422C-4E7F-8C1D-8D31EBEC6079}" xr6:coauthVersionLast="47" xr6:coauthVersionMax="47" xr10:uidLastSave="{00000000-0000-0000-0000-000000000000}"/>
  <bookViews>
    <workbookView xWindow="384" yWindow="384" windowWidth="17280" windowHeight="8880" xr2:uid="{38F874CC-E5E4-4E8F-9F83-30D042D9E19C}"/>
  </bookViews>
  <sheets>
    <sheet name="Target" sheetId="1" r:id="rId1"/>
    <sheet name="PORT" sheetId="3" r:id="rId2"/>
    <sheet name="Target (Value)" sheetId="2" r:id="rId3"/>
    <sheet name="Sheet1" sheetId="5" r:id="rId4"/>
    <sheet name="Bottom up" sheetId="4" r:id="rId5"/>
    <sheet name="Sensitivity Analysis" sheetId="6" r:id="rId6"/>
  </sheets>
  <definedNames>
    <definedName name="_xlnm._FilterDatabase" localSheetId="4" hidden="1">'Bottom up'!$C$3:$Q$84</definedName>
    <definedName name="SpreadsheetBuilder_1" localSheetId="2" hidden="1">'Target (Value)'!$A$3:$H$9</definedName>
    <definedName name="SpreadsheetBuilder_1" hidden="1">Target!$A$3:$H$9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1" l="1"/>
  <c r="C69" i="1" s="1"/>
  <c r="D68" i="1"/>
  <c r="E68" i="1"/>
  <c r="F68" i="1"/>
  <c r="D69" i="1"/>
  <c r="E69" i="1"/>
  <c r="F69" i="1"/>
  <c r="C71" i="1"/>
  <c r="D71" i="1"/>
  <c r="E71" i="1"/>
  <c r="E72" i="1" s="1"/>
  <c r="F71" i="1"/>
  <c r="D72" i="1"/>
  <c r="F72" i="1"/>
  <c r="C77" i="1"/>
  <c r="D77" i="1"/>
  <c r="E77" i="1"/>
  <c r="F77" i="1"/>
  <c r="G50" i="1"/>
  <c r="Q20" i="1"/>
  <c r="Q21" i="1" s="1"/>
  <c r="Q24" i="1"/>
  <c r="Q17" i="1" s="1"/>
  <c r="B17" i="1"/>
  <c r="C17" i="1"/>
  <c r="D17" i="1"/>
  <c r="E17" i="1"/>
  <c r="F17" i="1"/>
  <c r="G17" i="1"/>
  <c r="H17" i="1"/>
  <c r="I17" i="1"/>
  <c r="J17" i="1"/>
  <c r="K17" i="1"/>
  <c r="B20" i="1"/>
  <c r="B22" i="1" s="1"/>
  <c r="C20" i="1"/>
  <c r="D20" i="1"/>
  <c r="E20" i="1"/>
  <c r="F20" i="1"/>
  <c r="G20" i="1"/>
  <c r="G22" i="1" s="1"/>
  <c r="H20" i="1"/>
  <c r="H21" i="1" s="1"/>
  <c r="I20" i="1"/>
  <c r="I21" i="1" s="1"/>
  <c r="J20" i="1"/>
  <c r="K20" i="1"/>
  <c r="K21" i="1" s="1"/>
  <c r="L20" i="1"/>
  <c r="L21" i="1" s="1"/>
  <c r="M20" i="1"/>
  <c r="M21" i="1" s="1"/>
  <c r="N20" i="1"/>
  <c r="N21" i="1" s="1"/>
  <c r="N25" i="1" s="1"/>
  <c r="O20" i="1"/>
  <c r="O21" i="1" s="1"/>
  <c r="P20" i="1"/>
  <c r="P21" i="1" s="1"/>
  <c r="C21" i="1"/>
  <c r="C22" i="1" s="1"/>
  <c r="D21" i="1"/>
  <c r="D22" i="1" s="1"/>
  <c r="E21" i="1"/>
  <c r="E22" i="1" s="1"/>
  <c r="F21" i="1"/>
  <c r="F22" i="1" s="1"/>
  <c r="G21" i="1"/>
  <c r="J22" i="1"/>
  <c r="C24" i="1"/>
  <c r="D24" i="1"/>
  <c r="E24" i="1"/>
  <c r="F24" i="1"/>
  <c r="G24" i="1"/>
  <c r="H24" i="1"/>
  <c r="I24" i="1"/>
  <c r="J24" i="1"/>
  <c r="K24" i="1"/>
  <c r="L24" i="1"/>
  <c r="L17" i="1" s="1"/>
  <c r="M24" i="1"/>
  <c r="M17" i="1" s="1"/>
  <c r="N24" i="1"/>
  <c r="N17" i="1" s="1"/>
  <c r="O24" i="1"/>
  <c r="O17" i="1" s="1"/>
  <c r="P24" i="1"/>
  <c r="P17" i="1" s="1"/>
  <c r="B26" i="1"/>
  <c r="B28" i="1" s="1"/>
  <c r="B29" i="1" s="1"/>
  <c r="B30" i="1" s="1"/>
  <c r="C26" i="1"/>
  <c r="C28" i="1" s="1"/>
  <c r="C29" i="1" s="1"/>
  <c r="C30" i="1" s="1"/>
  <c r="D26" i="1"/>
  <c r="D28" i="1" s="1"/>
  <c r="D29" i="1" s="1"/>
  <c r="D30" i="1" s="1"/>
  <c r="E26" i="1"/>
  <c r="E28" i="1" s="1"/>
  <c r="E29" i="1" s="1"/>
  <c r="E30" i="1" s="1"/>
  <c r="F26" i="1"/>
  <c r="F28" i="1" s="1"/>
  <c r="F29" i="1" s="1"/>
  <c r="F30" i="1" s="1"/>
  <c r="G26" i="1"/>
  <c r="G28" i="1" s="1"/>
  <c r="G29" i="1" s="1"/>
  <c r="G30" i="1" s="1"/>
  <c r="H26" i="1"/>
  <c r="H28" i="1" s="1"/>
  <c r="H29" i="1" s="1"/>
  <c r="H30" i="1" s="1"/>
  <c r="I26" i="1"/>
  <c r="I28" i="1" s="1"/>
  <c r="I29" i="1" s="1"/>
  <c r="I30" i="1" s="1"/>
  <c r="J26" i="1"/>
  <c r="J28" i="1" s="1"/>
  <c r="J29" i="1" s="1"/>
  <c r="J30" i="1" s="1"/>
  <c r="K26" i="1"/>
  <c r="K28" i="1" s="1"/>
  <c r="K29" i="1" s="1"/>
  <c r="K30" i="1" s="1"/>
  <c r="L26" i="1"/>
  <c r="L28" i="1" s="1"/>
  <c r="L29" i="1" s="1"/>
  <c r="L30" i="1" s="1"/>
  <c r="M26" i="1"/>
  <c r="M28" i="1" s="1"/>
  <c r="M29" i="1" s="1"/>
  <c r="M30" i="1" s="1"/>
  <c r="B32" i="1"/>
  <c r="C32" i="1"/>
  <c r="D32" i="1"/>
  <c r="E32" i="1"/>
  <c r="F32" i="1"/>
  <c r="G32" i="1"/>
  <c r="H32" i="1"/>
  <c r="I32" i="1"/>
  <c r="J32" i="1"/>
  <c r="K32" i="1"/>
  <c r="L32" i="1"/>
  <c r="M32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B36" i="1"/>
  <c r="C36" i="1"/>
  <c r="D36" i="1"/>
  <c r="E36" i="1"/>
  <c r="F36" i="1"/>
  <c r="G36" i="1"/>
  <c r="H36" i="1"/>
  <c r="I36" i="1"/>
  <c r="J36" i="1"/>
  <c r="K36" i="1"/>
  <c r="L36" i="1"/>
  <c r="M36" i="1"/>
  <c r="C37" i="1"/>
  <c r="D37" i="1"/>
  <c r="E37" i="1"/>
  <c r="F37" i="1"/>
  <c r="G37" i="1"/>
  <c r="H37" i="1" s="1"/>
  <c r="K37" i="1"/>
  <c r="L37" i="1"/>
  <c r="L49" i="1" s="1"/>
  <c r="M37" i="1"/>
  <c r="M49" i="1" s="1"/>
  <c r="N37" i="1"/>
  <c r="O37" i="1"/>
  <c r="P37" i="1"/>
  <c r="Q37" i="1" s="1"/>
  <c r="B38" i="1"/>
  <c r="C38" i="1"/>
  <c r="D38" i="1"/>
  <c r="E38" i="1"/>
  <c r="F38" i="1"/>
  <c r="G38" i="1"/>
  <c r="J38" i="1"/>
  <c r="K38" i="1"/>
  <c r="L38" i="1"/>
  <c r="M38" i="1"/>
  <c r="N38" i="1"/>
  <c r="B39" i="1"/>
  <c r="B40" i="1" s="1"/>
  <c r="C39" i="1"/>
  <c r="C40" i="1" s="1"/>
  <c r="D39" i="1"/>
  <c r="D40" i="1" s="1"/>
  <c r="E39" i="1"/>
  <c r="E40" i="1" s="1"/>
  <c r="F39" i="1"/>
  <c r="F40" i="1" s="1"/>
  <c r="G39" i="1"/>
  <c r="G40" i="1" s="1"/>
  <c r="J39" i="1"/>
  <c r="J40" i="1" s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7" i="1"/>
  <c r="C47" i="1"/>
  <c r="D47" i="1"/>
  <c r="E47" i="1"/>
  <c r="F47" i="1"/>
  <c r="G47" i="1"/>
  <c r="H47" i="1"/>
  <c r="I47" i="1"/>
  <c r="J47" i="1"/>
  <c r="K47" i="1"/>
  <c r="L47" i="1"/>
  <c r="M47" i="1"/>
  <c r="O47" i="1"/>
  <c r="B51" i="1"/>
  <c r="C51" i="1"/>
  <c r="D51" i="1"/>
  <c r="E51" i="1"/>
  <c r="F51" i="1"/>
  <c r="P79" i="4"/>
  <c r="M79" i="4"/>
  <c r="O79" i="4" s="1"/>
  <c r="B79" i="4"/>
  <c r="A79" i="4"/>
  <c r="P78" i="4"/>
  <c r="Q78" i="4" s="1"/>
  <c r="M78" i="4"/>
  <c r="O78" i="4" s="1"/>
  <c r="B78" i="4"/>
  <c r="A78" i="4"/>
  <c r="P77" i="4"/>
  <c r="M77" i="4"/>
  <c r="O77" i="4" s="1"/>
  <c r="B77" i="4"/>
  <c r="A77" i="4"/>
  <c r="P76" i="4"/>
  <c r="M76" i="4"/>
  <c r="O76" i="4" s="1"/>
  <c r="B76" i="4"/>
  <c r="A76" i="4"/>
  <c r="P75" i="4"/>
  <c r="M75" i="4"/>
  <c r="O75" i="4" s="1"/>
  <c r="B75" i="4"/>
  <c r="A75" i="4"/>
  <c r="P74" i="4"/>
  <c r="M74" i="4"/>
  <c r="O74" i="4" s="1"/>
  <c r="B74" i="4"/>
  <c r="A74" i="4"/>
  <c r="P73" i="4"/>
  <c r="M73" i="4"/>
  <c r="O73" i="4" s="1"/>
  <c r="B73" i="4"/>
  <c r="A73" i="4"/>
  <c r="P72" i="4"/>
  <c r="M72" i="4"/>
  <c r="O72" i="4" s="1"/>
  <c r="B72" i="4"/>
  <c r="A72" i="4"/>
  <c r="P71" i="4"/>
  <c r="M71" i="4"/>
  <c r="O71" i="4" s="1"/>
  <c r="B71" i="4"/>
  <c r="A71" i="4"/>
  <c r="P70" i="4"/>
  <c r="M70" i="4"/>
  <c r="O70" i="4" s="1"/>
  <c r="B70" i="4"/>
  <c r="A70" i="4"/>
  <c r="P69" i="4"/>
  <c r="M69" i="4"/>
  <c r="O69" i="4" s="1"/>
  <c r="B69" i="4"/>
  <c r="A69" i="4"/>
  <c r="P68" i="4"/>
  <c r="M68" i="4"/>
  <c r="O68" i="4" s="1"/>
  <c r="B68" i="4"/>
  <c r="A68" i="4"/>
  <c r="P67" i="4"/>
  <c r="M67" i="4"/>
  <c r="O67" i="4" s="1"/>
  <c r="B67" i="4"/>
  <c r="A67" i="4"/>
  <c r="P66" i="4"/>
  <c r="M66" i="4"/>
  <c r="O66" i="4" s="1"/>
  <c r="B66" i="4"/>
  <c r="A66" i="4"/>
  <c r="P65" i="4"/>
  <c r="M65" i="4"/>
  <c r="O65" i="4" s="1"/>
  <c r="B65" i="4"/>
  <c r="A65" i="4"/>
  <c r="P64" i="4"/>
  <c r="M64" i="4"/>
  <c r="O64" i="4" s="1"/>
  <c r="B64" i="4"/>
  <c r="A64" i="4"/>
  <c r="P63" i="4"/>
  <c r="M63" i="4"/>
  <c r="O63" i="4" s="1"/>
  <c r="B63" i="4"/>
  <c r="A63" i="4"/>
  <c r="P62" i="4"/>
  <c r="M62" i="4"/>
  <c r="O62" i="4" s="1"/>
  <c r="B62" i="4"/>
  <c r="A62" i="4"/>
  <c r="P61" i="4"/>
  <c r="M61" i="4"/>
  <c r="O61" i="4" s="1"/>
  <c r="B61" i="4"/>
  <c r="A61" i="4"/>
  <c r="P60" i="4"/>
  <c r="M60" i="4"/>
  <c r="O60" i="4" s="1"/>
  <c r="B60" i="4"/>
  <c r="A60" i="4"/>
  <c r="P59" i="4"/>
  <c r="M59" i="4"/>
  <c r="O59" i="4" s="1"/>
  <c r="B59" i="4"/>
  <c r="A59" i="4"/>
  <c r="P58" i="4"/>
  <c r="M58" i="4"/>
  <c r="O58" i="4" s="1"/>
  <c r="B58" i="4"/>
  <c r="A58" i="4"/>
  <c r="P57" i="4"/>
  <c r="M57" i="4"/>
  <c r="O57" i="4" s="1"/>
  <c r="B57" i="4"/>
  <c r="A57" i="4"/>
  <c r="P56" i="4"/>
  <c r="M56" i="4"/>
  <c r="O56" i="4" s="1"/>
  <c r="B56" i="4"/>
  <c r="A56" i="4"/>
  <c r="P55" i="4"/>
  <c r="M55" i="4"/>
  <c r="O55" i="4" s="1"/>
  <c r="B55" i="4"/>
  <c r="A55" i="4"/>
  <c r="P54" i="4"/>
  <c r="M54" i="4"/>
  <c r="O54" i="4" s="1"/>
  <c r="B54" i="4"/>
  <c r="A54" i="4"/>
  <c r="P53" i="4"/>
  <c r="M53" i="4"/>
  <c r="O53" i="4" s="1"/>
  <c r="B53" i="4"/>
  <c r="A53" i="4"/>
  <c r="P52" i="4"/>
  <c r="M52" i="4"/>
  <c r="O52" i="4" s="1"/>
  <c r="B52" i="4"/>
  <c r="A52" i="4"/>
  <c r="P51" i="4"/>
  <c r="M51" i="4"/>
  <c r="O51" i="4" s="1"/>
  <c r="B51" i="4"/>
  <c r="A51" i="4"/>
  <c r="P50" i="4"/>
  <c r="M50" i="4"/>
  <c r="O50" i="4" s="1"/>
  <c r="B50" i="4"/>
  <c r="A50" i="4"/>
  <c r="P49" i="4"/>
  <c r="M49" i="4"/>
  <c r="O49" i="4" s="1"/>
  <c r="B49" i="4"/>
  <c r="A49" i="4"/>
  <c r="P48" i="4"/>
  <c r="M48" i="4"/>
  <c r="O48" i="4" s="1"/>
  <c r="B48" i="4"/>
  <c r="A48" i="4"/>
  <c r="P47" i="4"/>
  <c r="M47" i="4"/>
  <c r="O47" i="4" s="1"/>
  <c r="B47" i="4"/>
  <c r="A47" i="4"/>
  <c r="P46" i="4"/>
  <c r="M46" i="4"/>
  <c r="O46" i="4" s="1"/>
  <c r="B46" i="4"/>
  <c r="A46" i="4"/>
  <c r="P45" i="4"/>
  <c r="M45" i="4"/>
  <c r="O45" i="4" s="1"/>
  <c r="B45" i="4"/>
  <c r="A45" i="4"/>
  <c r="P44" i="4"/>
  <c r="M44" i="4"/>
  <c r="O44" i="4" s="1"/>
  <c r="B44" i="4"/>
  <c r="A44" i="4"/>
  <c r="P43" i="4"/>
  <c r="M43" i="4"/>
  <c r="O43" i="4" s="1"/>
  <c r="B43" i="4"/>
  <c r="A43" i="4"/>
  <c r="P42" i="4"/>
  <c r="M42" i="4"/>
  <c r="O42" i="4" s="1"/>
  <c r="B42" i="4"/>
  <c r="A42" i="4"/>
  <c r="P41" i="4"/>
  <c r="M41" i="4"/>
  <c r="O41" i="4" s="1"/>
  <c r="B41" i="4"/>
  <c r="A41" i="4"/>
  <c r="P40" i="4"/>
  <c r="M40" i="4"/>
  <c r="O40" i="4" s="1"/>
  <c r="B40" i="4"/>
  <c r="A40" i="4"/>
  <c r="P39" i="4"/>
  <c r="M39" i="4"/>
  <c r="O39" i="4" s="1"/>
  <c r="B39" i="4"/>
  <c r="A39" i="4"/>
  <c r="P38" i="4"/>
  <c r="M38" i="4"/>
  <c r="O38" i="4" s="1"/>
  <c r="B38" i="4"/>
  <c r="A38" i="4"/>
  <c r="P37" i="4"/>
  <c r="M37" i="4"/>
  <c r="O37" i="4" s="1"/>
  <c r="B37" i="4"/>
  <c r="A37" i="4"/>
  <c r="P36" i="4"/>
  <c r="M36" i="4"/>
  <c r="O36" i="4" s="1"/>
  <c r="B36" i="4"/>
  <c r="A36" i="4"/>
  <c r="P35" i="4"/>
  <c r="M35" i="4"/>
  <c r="O35" i="4" s="1"/>
  <c r="B35" i="4"/>
  <c r="A35" i="4"/>
  <c r="P34" i="4"/>
  <c r="M34" i="4"/>
  <c r="O34" i="4" s="1"/>
  <c r="B34" i="4"/>
  <c r="A34" i="4"/>
  <c r="P33" i="4"/>
  <c r="M33" i="4"/>
  <c r="O33" i="4" s="1"/>
  <c r="B33" i="4"/>
  <c r="A33" i="4"/>
  <c r="P32" i="4"/>
  <c r="M32" i="4"/>
  <c r="O32" i="4" s="1"/>
  <c r="B32" i="4"/>
  <c r="A32" i="4"/>
  <c r="P31" i="4"/>
  <c r="M31" i="4"/>
  <c r="O31" i="4" s="1"/>
  <c r="B31" i="4"/>
  <c r="A31" i="4"/>
  <c r="P30" i="4"/>
  <c r="M30" i="4"/>
  <c r="O30" i="4" s="1"/>
  <c r="B30" i="4"/>
  <c r="A30" i="4"/>
  <c r="P29" i="4"/>
  <c r="M29" i="4"/>
  <c r="O29" i="4" s="1"/>
  <c r="B29" i="4"/>
  <c r="A29" i="4"/>
  <c r="P28" i="4"/>
  <c r="M28" i="4"/>
  <c r="O28" i="4" s="1"/>
  <c r="B28" i="4"/>
  <c r="A28" i="4"/>
  <c r="P27" i="4"/>
  <c r="M27" i="4"/>
  <c r="O27" i="4" s="1"/>
  <c r="B27" i="4"/>
  <c r="A27" i="4"/>
  <c r="P26" i="4"/>
  <c r="M26" i="4"/>
  <c r="O26" i="4" s="1"/>
  <c r="B26" i="4"/>
  <c r="A26" i="4"/>
  <c r="P25" i="4"/>
  <c r="M25" i="4"/>
  <c r="O25" i="4" s="1"/>
  <c r="B25" i="4"/>
  <c r="A25" i="4"/>
  <c r="P24" i="4"/>
  <c r="M24" i="4"/>
  <c r="O24" i="4" s="1"/>
  <c r="Q24" i="4" s="1"/>
  <c r="B24" i="4"/>
  <c r="A24" i="4"/>
  <c r="P23" i="4"/>
  <c r="M23" i="4"/>
  <c r="O23" i="4" s="1"/>
  <c r="B23" i="4"/>
  <c r="A23" i="4"/>
  <c r="P22" i="4"/>
  <c r="M22" i="4"/>
  <c r="O22" i="4" s="1"/>
  <c r="B22" i="4"/>
  <c r="A22" i="4"/>
  <c r="P21" i="4"/>
  <c r="M21" i="4"/>
  <c r="O21" i="4" s="1"/>
  <c r="B21" i="4"/>
  <c r="A21" i="4"/>
  <c r="P20" i="4"/>
  <c r="M20" i="4"/>
  <c r="O20" i="4" s="1"/>
  <c r="B20" i="4"/>
  <c r="A20" i="4"/>
  <c r="P19" i="4"/>
  <c r="M19" i="4"/>
  <c r="O19" i="4" s="1"/>
  <c r="B19" i="4"/>
  <c r="A19" i="4"/>
  <c r="P18" i="4"/>
  <c r="M18" i="4"/>
  <c r="O18" i="4" s="1"/>
  <c r="B18" i="4"/>
  <c r="A18" i="4"/>
  <c r="P17" i="4"/>
  <c r="M17" i="4"/>
  <c r="O17" i="4" s="1"/>
  <c r="B17" i="4"/>
  <c r="A17" i="4"/>
  <c r="P16" i="4"/>
  <c r="M16" i="4"/>
  <c r="O16" i="4" s="1"/>
  <c r="B16" i="4"/>
  <c r="A16" i="4"/>
  <c r="P15" i="4"/>
  <c r="M15" i="4"/>
  <c r="O15" i="4" s="1"/>
  <c r="B15" i="4"/>
  <c r="A15" i="4"/>
  <c r="P14" i="4"/>
  <c r="M14" i="4"/>
  <c r="O14" i="4" s="1"/>
  <c r="B14" i="4"/>
  <c r="A14" i="4"/>
  <c r="P13" i="4"/>
  <c r="Q13" i="4" s="1"/>
  <c r="M13" i="4"/>
  <c r="O13" i="4" s="1"/>
  <c r="B13" i="4"/>
  <c r="A13" i="4"/>
  <c r="P12" i="4"/>
  <c r="M12" i="4"/>
  <c r="O12" i="4" s="1"/>
  <c r="B12" i="4"/>
  <c r="A12" i="4"/>
  <c r="P11" i="4"/>
  <c r="M11" i="4"/>
  <c r="O11" i="4" s="1"/>
  <c r="B11" i="4"/>
  <c r="A11" i="4"/>
  <c r="P10" i="4"/>
  <c r="M10" i="4"/>
  <c r="O10" i="4" s="1"/>
  <c r="B10" i="4"/>
  <c r="A10" i="4"/>
  <c r="P9" i="4"/>
  <c r="M9" i="4"/>
  <c r="O9" i="4" s="1"/>
  <c r="B9" i="4"/>
  <c r="A9" i="4"/>
  <c r="P8" i="4"/>
  <c r="M8" i="4"/>
  <c r="O8" i="4" s="1"/>
  <c r="B8" i="4"/>
  <c r="A8" i="4"/>
  <c r="P7" i="4"/>
  <c r="M7" i="4"/>
  <c r="O7" i="4" s="1"/>
  <c r="B7" i="4"/>
  <c r="A7" i="4"/>
  <c r="P6" i="4"/>
  <c r="M6" i="4"/>
  <c r="O6" i="4" s="1"/>
  <c r="B6" i="4"/>
  <c r="A6" i="4"/>
  <c r="P5" i="4"/>
  <c r="M5" i="4"/>
  <c r="O5" i="4" s="1"/>
  <c r="B5" i="4"/>
  <c r="A5" i="4"/>
  <c r="P4" i="4"/>
  <c r="M4" i="4"/>
  <c r="O4" i="4" s="1"/>
  <c r="B4" i="4"/>
  <c r="A4" i="4"/>
  <c r="C147" i="1"/>
  <c r="U33" i="1"/>
  <c r="G71" i="1"/>
  <c r="C72" i="1" l="1"/>
  <c r="B44" i="1"/>
  <c r="G44" i="1"/>
  <c r="J44" i="1"/>
  <c r="Q50" i="4"/>
  <c r="S87" i="4"/>
  <c r="J21" i="1"/>
  <c r="D44" i="1"/>
  <c r="E44" i="1"/>
  <c r="C44" i="1"/>
  <c r="F44" i="1"/>
  <c r="Q55" i="4"/>
  <c r="Q34" i="4"/>
  <c r="Q16" i="4"/>
  <c r="N26" i="1"/>
  <c r="N28" i="1" s="1"/>
  <c r="N29" i="1" s="1"/>
  <c r="N30" i="1" s="1"/>
  <c r="O30" i="1" s="1"/>
  <c r="O25" i="1"/>
  <c r="H38" i="1"/>
  <c r="I37" i="1"/>
  <c r="I38" i="1" s="1"/>
  <c r="H50" i="1"/>
  <c r="G51" i="1"/>
  <c r="N43" i="1"/>
  <c r="N34" i="1"/>
  <c r="N42" i="1"/>
  <c r="O42" i="1" s="1"/>
  <c r="P42" i="1" s="1"/>
  <c r="Q42" i="1" s="1"/>
  <c r="N46" i="1"/>
  <c r="N36" i="1"/>
  <c r="N32" i="1"/>
  <c r="O32" i="1" s="1"/>
  <c r="P32" i="1" s="1"/>
  <c r="Q32" i="1" s="1"/>
  <c r="K44" i="1"/>
  <c r="K39" i="1"/>
  <c r="K40" i="1" s="1"/>
  <c r="L39" i="1"/>
  <c r="L40" i="1" s="1"/>
  <c r="L44" i="1"/>
  <c r="M39" i="1"/>
  <c r="M40" i="1" s="1"/>
  <c r="M44" i="1"/>
  <c r="N39" i="1"/>
  <c r="N40" i="1" s="1"/>
  <c r="O40" i="1" s="1"/>
  <c r="N44" i="1"/>
  <c r="Q75" i="4"/>
  <c r="Q74" i="4"/>
  <c r="Q66" i="4"/>
  <c r="Q63" i="4"/>
  <c r="Q61" i="4"/>
  <c r="Q60" i="4"/>
  <c r="Q59" i="4"/>
  <c r="Q76" i="4"/>
  <c r="Q73" i="4"/>
  <c r="Q71" i="4"/>
  <c r="Q65" i="4"/>
  <c r="Q62" i="4"/>
  <c r="Q57" i="4"/>
  <c r="Q56" i="4"/>
  <c r="Q79" i="4"/>
  <c r="Q77" i="4"/>
  <c r="Q72" i="4"/>
  <c r="Q70" i="4"/>
  <c r="Q69" i="4"/>
  <c r="Q68" i="4"/>
  <c r="Q67" i="4"/>
  <c r="Q64" i="4"/>
  <c r="Q58" i="4"/>
  <c r="Q54" i="4"/>
  <c r="Q53" i="4"/>
  <c r="Q52" i="4"/>
  <c r="Q51" i="4"/>
  <c r="Q49" i="4"/>
  <c r="Q48" i="4"/>
  <c r="Q47" i="4"/>
  <c r="Q46" i="4"/>
  <c r="Q45" i="4"/>
  <c r="Q42" i="4"/>
  <c r="Q40" i="4"/>
  <c r="Q39" i="4"/>
  <c r="Q44" i="4"/>
  <c r="Q43" i="4"/>
  <c r="Q41" i="4"/>
  <c r="Q38" i="4"/>
  <c r="Q37" i="4"/>
  <c r="Q36" i="4"/>
  <c r="Q35" i="4"/>
  <c r="Q33" i="4"/>
  <c r="Q32" i="4"/>
  <c r="Q31" i="4"/>
  <c r="Q30" i="4"/>
  <c r="Q29" i="4"/>
  <c r="Q28" i="4"/>
  <c r="Q27" i="4"/>
  <c r="Q26" i="4"/>
  <c r="Q25" i="4"/>
  <c r="Q23" i="4"/>
  <c r="Q22" i="4"/>
  <c r="Q21" i="4"/>
  <c r="Q20" i="4"/>
  <c r="Q19" i="4"/>
  <c r="Q18" i="4"/>
  <c r="Q17" i="4"/>
  <c r="Q15" i="4"/>
  <c r="Q14" i="4"/>
  <c r="Q12" i="4"/>
  <c r="Q11" i="4"/>
  <c r="Q10" i="4"/>
  <c r="Q9" i="4"/>
  <c r="Q8" i="4"/>
  <c r="Q7" i="4"/>
  <c r="Q6" i="4"/>
  <c r="Q5" i="4"/>
  <c r="Q4" i="4"/>
  <c r="O26" i="1" l="1"/>
  <c r="O28" i="1" s="1"/>
  <c r="O31" i="1" s="1"/>
  <c r="P25" i="1"/>
  <c r="H39" i="1"/>
  <c r="H40" i="1" s="1"/>
  <c r="H44" i="1"/>
  <c r="I39" i="1"/>
  <c r="I40" i="1" s="1"/>
  <c r="I44" i="1"/>
  <c r="O46" i="1"/>
  <c r="O43" i="1"/>
  <c r="O33" i="1"/>
  <c r="H51" i="1"/>
  <c r="I50" i="1"/>
  <c r="N49" i="1"/>
  <c r="N45" i="1"/>
  <c r="O49" i="1"/>
  <c r="G68" i="1"/>
  <c r="G69" i="1" s="1"/>
  <c r="G72" i="1" s="1"/>
  <c r="P30" i="1"/>
  <c r="Q30" i="1" s="1"/>
  <c r="O29" i="1"/>
  <c r="P40" i="1"/>
  <c r="O39" i="1"/>
  <c r="U32" i="1"/>
  <c r="L2" i="4" a="1"/>
  <c r="P46" i="1" l="1"/>
  <c r="P29" i="1"/>
  <c r="P43" i="1"/>
  <c r="P33" i="1"/>
  <c r="P26" i="1"/>
  <c r="P28" i="1" s="1"/>
  <c r="P31" i="1" s="1"/>
  <c r="Q25" i="1"/>
  <c r="I51" i="1"/>
  <c r="J50" i="1"/>
  <c r="P39" i="1"/>
  <c r="Q40" i="1"/>
  <c r="O38" i="1"/>
  <c r="O41" i="1" s="1"/>
  <c r="G77" i="1" s="1"/>
  <c r="O45" i="1"/>
  <c r="O35" i="1"/>
  <c r="V32" i="1"/>
  <c r="V38" i="1" s="1"/>
  <c r="U34" i="1"/>
  <c r="Q29" i="1" l="1"/>
  <c r="Q46" i="1"/>
  <c r="Q26" i="1"/>
  <c r="Q28" i="1" s="1"/>
  <c r="Q43" i="1"/>
  <c r="Q33" i="1"/>
  <c r="P49" i="1"/>
  <c r="Q39" i="1"/>
  <c r="P35" i="1"/>
  <c r="P38" i="1"/>
  <c r="P41" i="1" s="1"/>
  <c r="P45" i="1"/>
  <c r="J51" i="1"/>
  <c r="K50" i="1"/>
  <c r="O36" i="1"/>
  <c r="O44" i="1"/>
  <c r="N1" i="4"/>
  <c r="Q35" i="1" l="1"/>
  <c r="Q45" i="1"/>
  <c r="Q49" i="1"/>
  <c r="Q31" i="1"/>
  <c r="Q38" i="1" s="1"/>
  <c r="Q41" i="1" s="1"/>
  <c r="P36" i="1"/>
  <c r="P44" i="1"/>
  <c r="K51" i="1"/>
  <c r="L50" i="1"/>
  <c r="Q44" i="1" l="1"/>
  <c r="Q36" i="1"/>
  <c r="R45" i="1"/>
  <c r="C133" i="1" s="1"/>
  <c r="L51" i="1"/>
  <c r="M50" i="1"/>
  <c r="M51" i="1" l="1"/>
  <c r="N50" i="1"/>
  <c r="C85" i="1"/>
  <c r="B55" i="1"/>
  <c r="B106" i="1"/>
  <c r="N51" i="1" l="1"/>
  <c r="O50" i="1"/>
  <c r="C141" i="1"/>
  <c r="B107" i="1"/>
  <c r="O51" i="1" l="1"/>
  <c r="P50" i="1"/>
  <c r="E96" i="1"/>
  <c r="E109" i="1"/>
  <c r="I68" i="1"/>
  <c r="I77" i="1"/>
  <c r="D85" i="1"/>
  <c r="P51" i="1" l="1"/>
  <c r="Q50" i="1"/>
  <c r="Q51" i="1" s="1"/>
  <c r="E107" i="1"/>
  <c r="C134" i="1"/>
  <c r="C148" i="1"/>
  <c r="C135" i="1"/>
  <c r="C149" i="1"/>
  <c r="E105" i="1"/>
  <c r="E106" i="1"/>
  <c r="D86" i="1"/>
  <c r="F133" i="1" l="1"/>
  <c r="H124" i="1"/>
  <c r="H125" i="1" s="1"/>
  <c r="D109" i="1"/>
  <c r="C109" i="1"/>
  <c r="B101" i="1"/>
  <c r="E100" i="1"/>
  <c r="B99" i="1"/>
  <c r="B98" i="1" s="1"/>
  <c r="B97" i="1" s="1"/>
  <c r="E104" i="1"/>
  <c r="D96" i="1"/>
  <c r="B79" i="1"/>
  <c r="B85" i="1"/>
  <c r="B86" i="1" l="1"/>
  <c r="E113" i="1"/>
  <c r="E111" i="1"/>
  <c r="D106" i="1"/>
  <c r="D107" i="1"/>
  <c r="C111" i="1"/>
  <c r="D100" i="1"/>
  <c r="D105" i="1"/>
  <c r="D111" i="1"/>
  <c r="G85" i="1"/>
  <c r="C116" i="1"/>
  <c r="D116" i="1"/>
  <c r="E116" i="1"/>
  <c r="C113" i="1"/>
  <c r="D113" i="1"/>
  <c r="E115" i="1"/>
  <c r="H61" i="1"/>
  <c r="G89" i="1"/>
  <c r="C89" i="1"/>
  <c r="D89" i="1" s="1"/>
  <c r="B89" i="1"/>
  <c r="E98" i="1"/>
  <c r="D98" i="1"/>
  <c r="E97" i="1"/>
  <c r="C114" i="1"/>
  <c r="D101" i="1"/>
  <c r="F96" i="1"/>
  <c r="F109" i="1"/>
  <c r="F116" i="1" s="1"/>
  <c r="C112" i="1"/>
  <c r="E114" i="1"/>
  <c r="D99" i="1"/>
  <c r="E101" i="1"/>
  <c r="G109" i="1"/>
  <c r="D112" i="1"/>
  <c r="C117" i="1"/>
  <c r="F85" i="1"/>
  <c r="D114" i="1"/>
  <c r="D110" i="1"/>
  <c r="F135" i="1" s="1"/>
  <c r="B102" i="1"/>
  <c r="E110" i="1"/>
  <c r="D115" i="1"/>
  <c r="E99" i="1"/>
  <c r="C110" i="1"/>
  <c r="E112" i="1"/>
  <c r="D117" i="1"/>
  <c r="C115" i="1"/>
  <c r="E117" i="1"/>
  <c r="D104" i="1"/>
  <c r="G96" i="1"/>
  <c r="F134" i="1"/>
  <c r="C96" i="1"/>
  <c r="F136" i="1" l="1"/>
  <c r="C86" i="1"/>
  <c r="C142" i="1" s="1"/>
  <c r="C106" i="1"/>
  <c r="C107" i="1"/>
  <c r="G106" i="1"/>
  <c r="G107" i="1"/>
  <c r="F101" i="1"/>
  <c r="F106" i="1"/>
  <c r="F107" i="1"/>
  <c r="G98" i="1"/>
  <c r="G105" i="1"/>
  <c r="F98" i="1"/>
  <c r="F105" i="1"/>
  <c r="C99" i="1"/>
  <c r="C105" i="1"/>
  <c r="C98" i="1"/>
  <c r="G110" i="1"/>
  <c r="G117" i="1"/>
  <c r="G114" i="1"/>
  <c r="G113" i="1"/>
  <c r="G115" i="1"/>
  <c r="G112" i="1"/>
  <c r="G116" i="1"/>
  <c r="G111" i="1"/>
  <c r="G104" i="1"/>
  <c r="G100" i="1"/>
  <c r="D102" i="1"/>
  <c r="E102" i="1"/>
  <c r="C102" i="1"/>
  <c r="G102" i="1"/>
  <c r="B103" i="1"/>
  <c r="F102" i="1"/>
  <c r="C100" i="1"/>
  <c r="C104" i="1"/>
  <c r="G97" i="1"/>
  <c r="F97" i="1"/>
  <c r="D97" i="1"/>
  <c r="C97" i="1"/>
  <c r="G99" i="1"/>
  <c r="F115" i="1"/>
  <c r="F110" i="1"/>
  <c r="F112" i="1"/>
  <c r="F113" i="1"/>
  <c r="F117" i="1"/>
  <c r="F114" i="1"/>
  <c r="F111" i="1"/>
  <c r="G101" i="1"/>
  <c r="F100" i="1"/>
  <c r="F104" i="1"/>
  <c r="F99" i="1"/>
  <c r="C101" i="1"/>
  <c r="C55" i="1"/>
  <c r="D55" i="1" s="1"/>
  <c r="V34" i="1"/>
  <c r="V33" i="1" s="1"/>
  <c r="W33" i="1" l="1"/>
  <c r="E55" i="1"/>
  <c r="F55" i="1" s="1"/>
  <c r="G55" i="1" s="1"/>
  <c r="G86" i="1"/>
  <c r="F86" i="1"/>
  <c r="G103" i="1"/>
  <c r="F103" i="1"/>
  <c r="E103" i="1"/>
  <c r="D103" i="1"/>
  <c r="C103" i="1"/>
  <c r="C13" i="6"/>
  <c r="U35" i="1" l="1"/>
  <c r="C4" i="6"/>
  <c r="F11" i="6" s="1"/>
  <c r="F10" i="6" s="1"/>
  <c r="N4" i="6"/>
  <c r="U36" i="1" l="1"/>
  <c r="U37" i="1" s="1"/>
  <c r="V35" i="1"/>
  <c r="V36" i="1" s="1"/>
  <c r="I61" i="1"/>
  <c r="M4" i="6"/>
  <c r="N5" i="6"/>
  <c r="O4" i="6"/>
  <c r="F12" i="6"/>
  <c r="G11" i="6"/>
  <c r="V37" i="1" l="1"/>
  <c r="V40" i="1" s="1"/>
  <c r="V41" i="1" s="1"/>
  <c r="W36" i="1"/>
  <c r="U39" i="1"/>
  <c r="U38" i="1" s="1"/>
  <c r="U40" i="1" s="1"/>
  <c r="P4" i="6"/>
  <c r="O5" i="6"/>
  <c r="O11" i="6" s="1"/>
  <c r="N11" i="6"/>
  <c r="M5" i="6"/>
  <c r="M11" i="6" s="1"/>
  <c r="L4" i="6"/>
  <c r="K4" i="6" s="1"/>
  <c r="J4" i="6" s="1"/>
  <c r="I4" i="6" s="1"/>
  <c r="F9" i="6"/>
  <c r="G10" i="6"/>
  <c r="F13" i="6"/>
  <c r="G12" i="6"/>
  <c r="U41" i="1" l="1"/>
  <c r="W40" i="1"/>
  <c r="J61" i="1"/>
  <c r="R44" i="1"/>
  <c r="M10" i="6"/>
  <c r="I5" i="6"/>
  <c r="I12" i="6" s="1"/>
  <c r="H4" i="6"/>
  <c r="H5" i="6" s="1"/>
  <c r="H11" i="6" s="1"/>
  <c r="I10" i="6"/>
  <c r="I11" i="6"/>
  <c r="N12" i="6"/>
  <c r="M12" i="6"/>
  <c r="O12" i="6"/>
  <c r="N10" i="6"/>
  <c r="O10" i="6"/>
  <c r="L5" i="6"/>
  <c r="L10" i="6" s="1"/>
  <c r="Q4" i="6"/>
  <c r="P5" i="6"/>
  <c r="P12" i="6" s="1"/>
  <c r="K5" i="6"/>
  <c r="F14" i="6"/>
  <c r="G13" i="6"/>
  <c r="F8" i="6"/>
  <c r="G9" i="6"/>
  <c r="H10" i="6" l="1"/>
  <c r="H12" i="6"/>
  <c r="I13" i="6"/>
  <c r="H13" i="6"/>
  <c r="I9" i="6"/>
  <c r="H9" i="6"/>
  <c r="L12" i="6"/>
  <c r="L13" i="6"/>
  <c r="F7" i="6"/>
  <c r="F6" i="6" s="1"/>
  <c r="G8" i="6"/>
  <c r="H8" i="6" s="1"/>
  <c r="N9" i="6"/>
  <c r="M9" i="6"/>
  <c r="O9" i="6"/>
  <c r="P9" i="6"/>
  <c r="L9" i="6"/>
  <c r="N13" i="6"/>
  <c r="O13" i="6"/>
  <c r="M13" i="6"/>
  <c r="P13" i="6"/>
  <c r="R4" i="6"/>
  <c r="R5" i="6" s="1"/>
  <c r="R9" i="6" s="1"/>
  <c r="Q5" i="6"/>
  <c r="L11" i="6"/>
  <c r="P11" i="6"/>
  <c r="P10" i="6"/>
  <c r="K12" i="6"/>
  <c r="K9" i="6"/>
  <c r="K11" i="6"/>
  <c r="K10" i="6"/>
  <c r="K13" i="6"/>
  <c r="F15" i="6"/>
  <c r="G14" i="6"/>
  <c r="J5" i="6"/>
  <c r="I14" i="6" l="1"/>
  <c r="H14" i="6"/>
  <c r="F16" i="6"/>
  <c r="G16" i="6" s="1"/>
  <c r="H16" i="6" s="1"/>
  <c r="G15" i="6"/>
  <c r="N15" i="6" s="1"/>
  <c r="K8" i="6"/>
  <c r="I8" i="6"/>
  <c r="R10" i="6"/>
  <c r="R13" i="6"/>
  <c r="R12" i="6"/>
  <c r="G7" i="6"/>
  <c r="H7" i="6" s="1"/>
  <c r="G6" i="6"/>
  <c r="H6" i="6" s="1"/>
  <c r="N14" i="6"/>
  <c r="O14" i="6"/>
  <c r="M14" i="6"/>
  <c r="P14" i="6"/>
  <c r="L14" i="6"/>
  <c r="Q14" i="6"/>
  <c r="Q11" i="6"/>
  <c r="Q12" i="6"/>
  <c r="Q10" i="6"/>
  <c r="Q9" i="6"/>
  <c r="N8" i="6"/>
  <c r="M8" i="6"/>
  <c r="O8" i="6"/>
  <c r="P8" i="6"/>
  <c r="L8" i="6"/>
  <c r="Q8" i="6"/>
  <c r="R8" i="6"/>
  <c r="R11" i="6"/>
  <c r="K14" i="6"/>
  <c r="Q13" i="6"/>
  <c r="R14" i="6"/>
  <c r="J10" i="6"/>
  <c r="J12" i="6"/>
  <c r="J9" i="6"/>
  <c r="J11" i="6"/>
  <c r="J13" i="6"/>
  <c r="J14" i="6"/>
  <c r="J8" i="6"/>
  <c r="R15" i="6" l="1"/>
  <c r="P15" i="6"/>
  <c r="O15" i="6"/>
  <c r="Q7" i="6"/>
  <c r="I15" i="6"/>
  <c r="H15" i="6"/>
  <c r="I6" i="6"/>
  <c r="M15" i="6"/>
  <c r="J15" i="6"/>
  <c r="K15" i="6"/>
  <c r="L15" i="6"/>
  <c r="J7" i="6"/>
  <c r="I7" i="6"/>
  <c r="R6" i="6"/>
  <c r="Q6" i="6"/>
  <c r="P6" i="6"/>
  <c r="O6" i="6"/>
  <c r="N6" i="6"/>
  <c r="M6" i="6"/>
  <c r="L6" i="6"/>
  <c r="K6" i="6"/>
  <c r="J6" i="6"/>
  <c r="Q15" i="6"/>
  <c r="R16" i="6"/>
  <c r="Q16" i="6"/>
  <c r="P16" i="6"/>
  <c r="O16" i="6"/>
  <c r="N16" i="6"/>
  <c r="M16" i="6"/>
  <c r="L16" i="6"/>
  <c r="K16" i="6"/>
  <c r="J16" i="6"/>
  <c r="I16" i="6"/>
  <c r="L7" i="6"/>
  <c r="K7" i="6"/>
  <c r="N7" i="6"/>
  <c r="O7" i="6"/>
  <c r="M7" i="6"/>
  <c r="P7" i="6"/>
  <c r="R7" i="6"/>
  <c r="B83" i="2"/>
  <c r="C165" i="2"/>
  <c r="C164" i="2"/>
  <c r="C163" i="2"/>
  <c r="C162" i="2"/>
  <c r="C161" i="2"/>
  <c r="C158" i="2"/>
  <c r="C157" i="2"/>
  <c r="C156" i="2"/>
  <c r="C155" i="2"/>
  <c r="C154" i="2"/>
  <c r="C151" i="2"/>
  <c r="C150" i="2"/>
  <c r="C149" i="2"/>
  <c r="C148" i="2"/>
  <c r="C147" i="2"/>
  <c r="T4" i="4" l="1"/>
  <c r="T11" i="4"/>
  <c r="T5" i="4" l="1"/>
  <c r="S89" i="4"/>
  <c r="S90" i="4" s="1"/>
  <c r="T7" i="4"/>
  <c r="T9" i="4"/>
  <c r="T12" i="4"/>
  <c r="T6" i="4"/>
  <c r="T10" i="4"/>
  <c r="T17" i="4"/>
  <c r="T18" i="4"/>
  <c r="T15" i="4"/>
  <c r="T14" i="4"/>
  <c r="T16" i="4"/>
  <c r="T20" i="4"/>
  <c r="T8" i="4"/>
  <c r="D87" i="1" l="1"/>
  <c r="C87" i="1"/>
  <c r="B87" i="1"/>
  <c r="T13" i="4"/>
  <c r="T19" i="4"/>
  <c r="C143" i="1" l="1"/>
  <c r="C150" i="1"/>
  <c r="C151" i="1" s="1"/>
  <c r="D151" i="1" s="1"/>
  <c r="C136" i="1"/>
  <c r="C137" i="1" s="1"/>
  <c r="D137" i="1" s="1"/>
  <c r="F87" i="1"/>
  <c r="G87" i="1"/>
  <c r="T21" i="4"/>
  <c r="R21" i="4" s="1"/>
  <c r="R7" i="4" l="1"/>
  <c r="R8" i="4"/>
  <c r="R16" i="4"/>
  <c r="R14" i="4"/>
  <c r="R6" i="4"/>
  <c r="R20" i="4"/>
  <c r="R4" i="4"/>
  <c r="R19" i="4"/>
  <c r="R15" i="4"/>
  <c r="R9" i="4"/>
  <c r="R18" i="4"/>
  <c r="R5" i="4"/>
  <c r="R10" i="4"/>
  <c r="R12" i="4"/>
  <c r="R11" i="4"/>
  <c r="R13" i="4"/>
  <c r="R17" i="4"/>
  <c r="S23" i="4" l="1"/>
  <c r="T35" i="4"/>
  <c r="S31" i="4"/>
  <c r="S34" i="4"/>
  <c r="T38" i="4"/>
  <c r="T28" i="4"/>
  <c r="S37" i="4"/>
  <c r="T36" i="4"/>
  <c r="T39" i="4"/>
  <c r="S39" i="4"/>
  <c r="S38" i="4"/>
  <c r="S26" i="4"/>
  <c r="S28" i="4"/>
  <c r="S24" i="4"/>
  <c r="T26" i="4"/>
  <c r="T27" i="4"/>
  <c r="T32" i="4"/>
  <c r="S35" i="4"/>
  <c r="T33" i="4"/>
  <c r="S29" i="4"/>
  <c r="S25" i="4"/>
  <c r="T31" i="4"/>
  <c r="T29" i="4"/>
  <c r="S30" i="4"/>
  <c r="T34" i="4"/>
  <c r="S33" i="4"/>
  <c r="S32" i="4"/>
  <c r="S27" i="4"/>
  <c r="T30" i="4"/>
  <c r="T24" i="4"/>
  <c r="S36" i="4"/>
  <c r="T37" i="4"/>
  <c r="T23" i="4"/>
  <c r="T25" i="4"/>
  <c r="L61" i="1" l="1"/>
  <c r="B62" i="1" s="1"/>
  <c r="B64" i="1" s="1"/>
  <c r="B65" i="1" s="1"/>
  <c r="G59" i="1"/>
  <c r="D84" i="1" s="1"/>
  <c r="D88" i="1" s="1"/>
  <c r="D90" i="1" s="1"/>
  <c r="F59" i="1"/>
  <c r="C121" i="1" s="1"/>
  <c r="K61" i="1"/>
  <c r="E59" i="1"/>
  <c r="D59" i="1"/>
  <c r="B84" i="1" s="1"/>
  <c r="B88" i="1" s="1"/>
  <c r="C84" i="1" l="1"/>
  <c r="C140" i="1" s="1"/>
  <c r="C144" i="1" s="1"/>
  <c r="D144" i="1" s="1"/>
  <c r="B90" i="1"/>
  <c r="C88" i="1" l="1"/>
  <c r="E90" i="1" s="1"/>
  <c r="F84" i="1"/>
  <c r="G84" i="1"/>
  <c r="F88" i="1" l="1"/>
  <c r="C90" i="1"/>
  <c r="G88" i="1"/>
  <c r="G9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<sst xmlns="http://schemas.openxmlformats.org/spreadsheetml/2006/main" count="899" uniqueCount="414">
  <si>
    <t>EBIT</t>
  </si>
  <si>
    <t>D&amp;A</t>
  </si>
  <si>
    <t>NWC</t>
  </si>
  <si>
    <t>Capex</t>
  </si>
  <si>
    <t>FCFF</t>
  </si>
  <si>
    <t>g</t>
  </si>
  <si>
    <t>WACC</t>
  </si>
  <si>
    <t>NPV</t>
  </si>
  <si>
    <t>Start Date</t>
  </si>
  <si>
    <t>End Date</t>
  </si>
  <si>
    <t>IBOV Index</t>
  </si>
  <si>
    <t>Dates</t>
  </si>
  <si>
    <t>TRAIL_12M_SALES_PER_SH</t>
  </si>
  <si>
    <t>OPER_INC_PER_SH</t>
  </si>
  <si>
    <t>BEST_EBITDA</t>
  </si>
  <si>
    <t>TRAIL_12M_EBITDA_PER_SHARE</t>
  </si>
  <si>
    <t>TRAIL_12M_EPS</t>
  </si>
  <si>
    <t>TRAIL_12M_CAP_EXPEND</t>
  </si>
  <si>
    <t>FCF_PER_SH_AGGTE</t>
  </si>
  <si>
    <t>Sales</t>
  </si>
  <si>
    <t>EBIT Mg %</t>
  </si>
  <si>
    <t>EBITDA</t>
  </si>
  <si>
    <t>EBITDA Mg %</t>
  </si>
  <si>
    <t>D&amp;A % Sales</t>
  </si>
  <si>
    <t>Sales Growth</t>
  </si>
  <si>
    <t>Inflation</t>
  </si>
  <si>
    <t>Nominal GDP</t>
  </si>
  <si>
    <t>Ratio</t>
  </si>
  <si>
    <t>Capex to Sales %</t>
  </si>
  <si>
    <t>Tax</t>
  </si>
  <si>
    <t>NOPAT</t>
  </si>
  <si>
    <t>ERP</t>
  </si>
  <si>
    <t>BZRFB5PY Index</t>
  </si>
  <si>
    <t>IRR</t>
  </si>
  <si>
    <t>Real IRR</t>
  </si>
  <si>
    <t>Implied ERP</t>
  </si>
  <si>
    <t>Target EV/EBITDA</t>
  </si>
  <si>
    <t xml:space="preserve">Historical </t>
  </si>
  <si>
    <t>EV</t>
  </si>
  <si>
    <t>Equity</t>
  </si>
  <si>
    <t>Premium</t>
  </si>
  <si>
    <t>Target</t>
  </si>
  <si>
    <t>Average</t>
  </si>
  <si>
    <t>P/E - 12m</t>
  </si>
  <si>
    <t>EY</t>
  </si>
  <si>
    <t xml:space="preserve">DCF </t>
  </si>
  <si>
    <t>Target fwd P/E</t>
  </si>
  <si>
    <t>IBOV Target</t>
  </si>
  <si>
    <t>Comments</t>
  </si>
  <si>
    <t>Price</t>
  </si>
  <si>
    <t>Upside</t>
  </si>
  <si>
    <t>Net Debt</t>
  </si>
  <si>
    <t>IBOV - average</t>
  </si>
  <si>
    <t>FCF Yield</t>
  </si>
  <si>
    <t>ND/EBITDA</t>
  </si>
  <si>
    <t>EPS</t>
  </si>
  <si>
    <t>Net Margin %</t>
  </si>
  <si>
    <t>IBOV target</t>
  </si>
  <si>
    <t>P/E and EV/EBITDA</t>
  </si>
  <si>
    <t>10yr Average -&gt;</t>
  </si>
  <si>
    <t>Base case  -&gt;</t>
  </si>
  <si>
    <t>NTN-B (Real Yield) vs DCF value</t>
  </si>
  <si>
    <t>Bear Case</t>
  </si>
  <si>
    <t>Base Case</t>
  </si>
  <si>
    <t>Bull Case</t>
  </si>
  <si>
    <t xml:space="preserve">Real Rates </t>
  </si>
  <si>
    <t>Bear BEAR Case</t>
  </si>
  <si>
    <t>EPS/EBITDA 20% lower</t>
  </si>
  <si>
    <t>Fluxo de caixa descontado</t>
  </si>
  <si>
    <t>Média</t>
  </si>
  <si>
    <t>Potencial de alta</t>
  </si>
  <si>
    <t>Preço Justo</t>
  </si>
  <si>
    <t>Comentários</t>
  </si>
  <si>
    <t>Preço-alvo Ibovespa</t>
  </si>
  <si>
    <t>Target P/L 12 meses</t>
  </si>
  <si>
    <t>Preço atual</t>
  </si>
  <si>
    <t>P/E 10x</t>
  </si>
  <si>
    <t>IBOV DCF value</t>
  </si>
  <si>
    <t>Cenário otimista</t>
  </si>
  <si>
    <t>P/L em 10x</t>
  </si>
  <si>
    <t>Cenário pessimista</t>
  </si>
  <si>
    <t>Cenário muito pessimista</t>
  </si>
  <si>
    <t>LPA/EBITDA 2023E 20% mais baixo</t>
  </si>
  <si>
    <t>P/L em 6x</t>
  </si>
  <si>
    <t>EV/EBITDA em 4.5x</t>
  </si>
  <si>
    <t>LPA/EBITDA 2023E inalterado</t>
  </si>
  <si>
    <t>Juros real em 4,5%</t>
  </si>
  <si>
    <t>EV/EBITDA em 6,0x</t>
  </si>
  <si>
    <t>Juros real em 6,2%</t>
  </si>
  <si>
    <t>P/L em 8x</t>
  </si>
  <si>
    <t>EV/EBITDA em 5,0x</t>
  </si>
  <si>
    <t>Juros real em 7,5%</t>
  </si>
  <si>
    <t>Fair Value 2025</t>
  </si>
  <si>
    <t>IBOV</t>
  </si>
  <si>
    <t>Descrição</t>
  </si>
  <si>
    <t>Classe</t>
  </si>
  <si>
    <t>VALE3&lt;XBSP&gt;</t>
  </si>
  <si>
    <t>Vale</t>
  </si>
  <si>
    <t>ON</t>
  </si>
  <si>
    <t>PETR4&lt;XBSP&gt;</t>
  </si>
  <si>
    <t>Petrobras</t>
  </si>
  <si>
    <t>PN</t>
  </si>
  <si>
    <t>ITUB4&lt;XBSP&gt;</t>
  </si>
  <si>
    <t>ItauUnibanco</t>
  </si>
  <si>
    <t>PETR3&lt;XBSP&gt;</t>
  </si>
  <si>
    <t>BBDC4&lt;XBSP&gt;</t>
  </si>
  <si>
    <t>Bradesco</t>
  </si>
  <si>
    <t>B3SA3&lt;XBSP&gt;</t>
  </si>
  <si>
    <t>B3</t>
  </si>
  <si>
    <t>BBAS3&lt;XBSP&gt;</t>
  </si>
  <si>
    <t>Brasil</t>
  </si>
  <si>
    <t>ABEV3&lt;XBSP&gt;</t>
  </si>
  <si>
    <t>Ambev S/A</t>
  </si>
  <si>
    <t>ITSA4&lt;XBSP&gt;</t>
  </si>
  <si>
    <t>Itausa</t>
  </si>
  <si>
    <t>RENT3&lt;XBSP&gt;</t>
  </si>
  <si>
    <t>Localiza</t>
  </si>
  <si>
    <t>WEGE3&lt;XBSP&gt;</t>
  </si>
  <si>
    <t>Weg</t>
  </si>
  <si>
    <t>BPAC11&lt;XBSP&gt;</t>
  </si>
  <si>
    <t>Btgp Banco</t>
  </si>
  <si>
    <t>UNT</t>
  </si>
  <si>
    <t>EQTL3&lt;XBSP&gt;</t>
  </si>
  <si>
    <t>Equatorial</t>
  </si>
  <si>
    <t>PRIO3&lt;XBSP&gt;</t>
  </si>
  <si>
    <t>Petrorio</t>
  </si>
  <si>
    <t>SUZB3&lt;XBSP&gt;</t>
  </si>
  <si>
    <t>Suzano S.A.</t>
  </si>
  <si>
    <t>RADL3&lt;XBSP&gt;</t>
  </si>
  <si>
    <t>RaiaDrogasil</t>
  </si>
  <si>
    <t>RDOR3&lt;XBSP&gt;</t>
  </si>
  <si>
    <t>Rede D Or</t>
  </si>
  <si>
    <t>RAIL3&lt;XBSP&gt;</t>
  </si>
  <si>
    <t>Rumo S.A.</t>
  </si>
  <si>
    <t>UGPA3&lt;XBSP&gt;</t>
  </si>
  <si>
    <t>Ultrapar</t>
  </si>
  <si>
    <t>GGBR4&lt;XBSP&gt;</t>
  </si>
  <si>
    <t>Gerdau</t>
  </si>
  <si>
    <t>VBBR3&lt;XBSP&gt;</t>
  </si>
  <si>
    <t>Vibra</t>
  </si>
  <si>
    <t>SBSP3&lt;XBSP&gt;</t>
  </si>
  <si>
    <t>Sabesp</t>
  </si>
  <si>
    <t>VIVT3&lt;XBSP&gt;</t>
  </si>
  <si>
    <t>Telef Brasil</t>
  </si>
  <si>
    <t>BBSE3&lt;XBSP&gt;</t>
  </si>
  <si>
    <t>BBSeguridade</t>
  </si>
  <si>
    <t>CSAN3&lt;XBSP&gt;</t>
  </si>
  <si>
    <t>Cosan</t>
  </si>
  <si>
    <t>BBDC3&lt;XBSP&gt;</t>
  </si>
  <si>
    <t>ENEV3&lt;XBSP&gt;</t>
  </si>
  <si>
    <t>Eneva</t>
  </si>
  <si>
    <t>HAPV3&lt;XBSP&gt;</t>
  </si>
  <si>
    <t>Hapvida</t>
  </si>
  <si>
    <t>ASAI3&lt;XBSP&gt;</t>
  </si>
  <si>
    <t>Assai</t>
  </si>
  <si>
    <t>TOTS3&lt;XBSP&gt;</t>
  </si>
  <si>
    <t>Totvs</t>
  </si>
  <si>
    <t>KLBN11&lt;XBSP&gt;</t>
  </si>
  <si>
    <t>Klabin S/A</t>
  </si>
  <si>
    <t>UNT N2</t>
  </si>
  <si>
    <t>CMIG4&lt;XBSP&gt;</t>
  </si>
  <si>
    <t>Cemig</t>
  </si>
  <si>
    <t>Copel</t>
  </si>
  <si>
    <t>ENGI11&lt;XBSP&gt;</t>
  </si>
  <si>
    <t>Energisa</t>
  </si>
  <si>
    <t>Embraer</t>
  </si>
  <si>
    <t>LREN3&lt;XBSP&gt;</t>
  </si>
  <si>
    <t>Lojas Renner</t>
  </si>
  <si>
    <t>HYPE3&lt;XBSP&gt;</t>
  </si>
  <si>
    <t>Hypera</t>
  </si>
  <si>
    <t>TIMS3&lt;XBSP&gt;</t>
  </si>
  <si>
    <t>Tim</t>
  </si>
  <si>
    <t>ALOS3&lt;XBSP&gt;</t>
  </si>
  <si>
    <t>Allos</t>
  </si>
  <si>
    <t>EGIE3&lt;XBSP&gt;</t>
  </si>
  <si>
    <t>Engie Brasil</t>
  </si>
  <si>
    <t>SANB11&lt;XBSP&gt;</t>
  </si>
  <si>
    <t>Santander BR</t>
  </si>
  <si>
    <t>CSNA3&lt;XBSP&gt;</t>
  </si>
  <si>
    <t>Sid Nacional</t>
  </si>
  <si>
    <t>TAEE11&lt;XBSP&gt;</t>
  </si>
  <si>
    <t>Taesa</t>
  </si>
  <si>
    <t>CMIN3&lt;XBSP&gt;</t>
  </si>
  <si>
    <t>Csn Mineracao</t>
  </si>
  <si>
    <t>MULT3&lt;XBSP&gt;</t>
  </si>
  <si>
    <t>Multiplan</t>
  </si>
  <si>
    <t>GOAU4&lt;XBSP&gt;</t>
  </si>
  <si>
    <t>Gerdau Met</t>
  </si>
  <si>
    <t>CPFE3&lt;XBSP&gt;</t>
  </si>
  <si>
    <t>CPFL Energia</t>
  </si>
  <si>
    <t>BRAP4&lt;XBSP&gt;</t>
  </si>
  <si>
    <t>Bradespar</t>
  </si>
  <si>
    <t>MGLU3&lt;XBSP&gt;</t>
  </si>
  <si>
    <t>Magaz Luiza</t>
  </si>
  <si>
    <t>FLRY3&lt;XBSP&gt;</t>
  </si>
  <si>
    <t>Fleury</t>
  </si>
  <si>
    <t>YDUQ3&lt;XBSP&gt;</t>
  </si>
  <si>
    <t>Yduqs Part</t>
  </si>
  <si>
    <t>COGN3&lt;XBSP&gt;</t>
  </si>
  <si>
    <t>Cogna ON</t>
  </si>
  <si>
    <t>RECV3&lt;XBSP&gt;</t>
  </si>
  <si>
    <t>Petrorecsa</t>
  </si>
  <si>
    <t>CYRE3&lt;XBSP&gt;</t>
  </si>
  <si>
    <t>Cyrela Realt</t>
  </si>
  <si>
    <t>BRKM5&lt;XBSP&gt;</t>
  </si>
  <si>
    <t>Braskem</t>
  </si>
  <si>
    <t>PNA</t>
  </si>
  <si>
    <t>IGTI11&lt;XBSP&gt;</t>
  </si>
  <si>
    <t>Iguatemi SA</t>
  </si>
  <si>
    <t>RAIZ4&lt;XBSP&gt;</t>
  </si>
  <si>
    <t>Raizen</t>
  </si>
  <si>
    <t>VAMO3&lt;XBSP&gt;</t>
  </si>
  <si>
    <t>Vamos</t>
  </si>
  <si>
    <t>USIM5&lt;XBSP&gt;</t>
  </si>
  <si>
    <t>Usiminas</t>
  </si>
  <si>
    <t>SLCE3&lt;XBSP&gt;</t>
  </si>
  <si>
    <t>SLC Agricola</t>
  </si>
  <si>
    <t>IRBR3&lt;XBSP&gt;</t>
  </si>
  <si>
    <t>Irbbrasil Re</t>
  </si>
  <si>
    <t>MRVE3&lt;XBSP&gt;</t>
  </si>
  <si>
    <t>MRV</t>
  </si>
  <si>
    <t>Marfrig</t>
  </si>
  <si>
    <t>BEEF3&lt;XBSP&gt;</t>
  </si>
  <si>
    <t>Minerva</t>
  </si>
  <si>
    <t>CVCB3&lt;XBSP&gt;</t>
  </si>
  <si>
    <t>Cvc Brasil</t>
  </si>
  <si>
    <t>PCAR3&lt;XBSP&gt;</t>
  </si>
  <si>
    <t>P.Acucar-Cbd</t>
  </si>
  <si>
    <t>SECTOR_XP</t>
  </si>
  <si>
    <t>RECOMMENDATION</t>
  </si>
  <si>
    <t>TARGET</t>
  </si>
  <si>
    <t>Target consensus</t>
  </si>
  <si>
    <t>TP final</t>
  </si>
  <si>
    <t>CURRENT</t>
  </si>
  <si>
    <t>UPSIDE</t>
  </si>
  <si>
    <t>Peso por setor</t>
  </si>
  <si>
    <t>peso setor * upside</t>
  </si>
  <si>
    <t>XP Sectors</t>
  </si>
  <si>
    <t>TP by sector</t>
  </si>
  <si>
    <t>Ibovespa</t>
  </si>
  <si>
    <t>Upside do Ibovespa</t>
  </si>
  <si>
    <t>Ibovespa Hoje</t>
  </si>
  <si>
    <t>Bottom-up approach</t>
  </si>
  <si>
    <t>Bottom Up</t>
  </si>
  <si>
    <t>WACC 11,7% (taxa de crescimento de 5%)</t>
  </si>
  <si>
    <t>P/L 9,0x 2025</t>
  </si>
  <si>
    <t>EV/EBITDA 5,5x 2025</t>
  </si>
  <si>
    <t>Preço-alvo do Ibovespa para 2024</t>
  </si>
  <si>
    <t>VIVA3&lt;XBSP&gt;</t>
  </si>
  <si>
    <t>Vivara S.A.</t>
  </si>
  <si>
    <t>Analyst's price targets</t>
  </si>
  <si>
    <t>AZZA3&lt;XBSP&gt;</t>
  </si>
  <si>
    <t>Azzas 2154</t>
  </si>
  <si>
    <t>NTM</t>
  </si>
  <si>
    <t>BRAV3&lt;XBSP&gt;</t>
  </si>
  <si>
    <t>Brava</t>
  </si>
  <si>
    <t>CXSE3&lt;XBSP&gt;</t>
  </si>
  <si>
    <t>Caixa Seguri</t>
  </si>
  <si>
    <t>AURE3&lt;XBSP&gt;</t>
  </si>
  <si>
    <t>Auren</t>
  </si>
  <si>
    <t>Input dia anterior de hoje:</t>
  </si>
  <si>
    <t>Cuidado com BBDC3 e BBDC4 (USAR O MESMO TP, TEM QUE COLAR MANUALMENTE O DE BBDC3)</t>
  </si>
  <si>
    <t>COLAR TARGET COMO VALOR</t>
  </si>
  <si>
    <t>Fwd. EV/EBITDA 4,5x</t>
  </si>
  <si>
    <t>EV/EBITDA 4,0x</t>
  </si>
  <si>
    <t>Bottom up +10%</t>
  </si>
  <si>
    <t xml:space="preserve">Bottom up </t>
  </si>
  <si>
    <t>Bottom up -20%</t>
  </si>
  <si>
    <t>ISAE4&lt;XBSP&gt;</t>
  </si>
  <si>
    <t>Isa Energia</t>
  </si>
  <si>
    <t>EV/EBITDA 4,7x</t>
  </si>
  <si>
    <t>2026E EPS/EBITDA</t>
  </si>
  <si>
    <t>2025E EPS/EBITDA unchanged</t>
  </si>
  <si>
    <t>2025E EPS/EBITDA - 20% lower</t>
  </si>
  <si>
    <t>PSSA3&lt;XBSP&gt;</t>
  </si>
  <si>
    <t>Porto Seguro</t>
  </si>
  <si>
    <t>POMO4&lt;XBSP&gt;</t>
  </si>
  <si>
    <t>Marcopolo</t>
  </si>
  <si>
    <t>2025 EV/EBITDA and EBITDA</t>
  </si>
  <si>
    <t>2025 P/E and EPS</t>
  </si>
  <si>
    <t>Fair Value 2026</t>
  </si>
  <si>
    <t>WACC 13,6%, g at 4,5%</t>
  </si>
  <si>
    <t>Fwd P/E 9,0x</t>
  </si>
  <si>
    <t>Real Yield @8,0%</t>
  </si>
  <si>
    <t>EV/EBITDA 4.0x</t>
  </si>
  <si>
    <t>P/E 6,0x</t>
  </si>
  <si>
    <t>Real Yield @ 7.4%</t>
  </si>
  <si>
    <t>P/E 9.0x</t>
  </si>
  <si>
    <t>EV/EBITDA 4.7x</t>
  </si>
  <si>
    <t>P/E 7.0x</t>
  </si>
  <si>
    <t>Real Yield @ 8.5%</t>
  </si>
  <si>
    <t>Real Yield @ 6.5%</t>
  </si>
  <si>
    <t>EV/EBITDA 5.5x</t>
  </si>
  <si>
    <t>Juros reais em 8,5%</t>
  </si>
  <si>
    <t>P/L 7,0x</t>
  </si>
  <si>
    <t>Cenário base</t>
  </si>
  <si>
    <t>Juros reais em 7,4%</t>
  </si>
  <si>
    <t>Juros reais em 6,5%</t>
  </si>
  <si>
    <t>P/L 10x</t>
  </si>
  <si>
    <t>EV/EBITDA 5,5x</t>
  </si>
  <si>
    <t>Estimativa de LPA/EBITDA para 2025 - 20% menor</t>
  </si>
  <si>
    <t>MOTV3&lt;XBSP&gt;</t>
  </si>
  <si>
    <t>Motiva SA</t>
  </si>
  <si>
    <t>SMFT3&lt;XBSP&gt;</t>
  </si>
  <si>
    <t>Smart Fit</t>
  </si>
  <si>
    <t>DIRR3&lt;XBSP&gt;</t>
  </si>
  <si>
    <t>Direcional</t>
  </si>
  <si>
    <t>NATU3&lt;XBSP&gt;</t>
  </si>
  <si>
    <t>Natura</t>
  </si>
  <si>
    <t>AXIA3&lt;XBSP&gt;</t>
  </si>
  <si>
    <t>Axia Energia</t>
  </si>
  <si>
    <t>EMBJ3&lt;XBSP&gt;</t>
  </si>
  <si>
    <t>CPLE5&lt;XBSP&gt;</t>
  </si>
  <si>
    <t>MBRF3&lt;XBSP&gt;</t>
  </si>
  <si>
    <t>CURY3&lt;XBSP&gt;</t>
  </si>
  <si>
    <t>Cury S/A</t>
  </si>
  <si>
    <t>CEAB3&lt;XBSP&gt;</t>
  </si>
  <si>
    <t>Cea Modas</t>
  </si>
  <si>
    <t>Código</t>
  </si>
  <si>
    <t>Perpetuity</t>
  </si>
  <si>
    <t>Yield</t>
  </si>
  <si>
    <t>2026E FCFF Growth</t>
  </si>
  <si>
    <t>Long-term real rate</t>
  </si>
  <si>
    <t>bottom up</t>
  </si>
  <si>
    <t>Real GDP</t>
  </si>
  <si>
    <t>CPLE3&lt;XBSP&gt;</t>
  </si>
  <si>
    <t>Bottom up +20%</t>
  </si>
  <si>
    <t>TICKER</t>
  </si>
  <si>
    <t>Metals &amp; Mining</t>
  </si>
  <si>
    <t>Neutral</t>
  </si>
  <si>
    <t>Banks</t>
  </si>
  <si>
    <t>Buy</t>
  </si>
  <si>
    <t>Oil, Gas &amp; Petrochemicals</t>
  </si>
  <si>
    <t>Financials Non-Banks</t>
  </si>
  <si>
    <t>Capital Goods</t>
  </si>
  <si>
    <t>Sell</t>
  </si>
  <si>
    <t>Health Care</t>
  </si>
  <si>
    <t>Transportation</t>
  </si>
  <si>
    <t>Pulp &amp; Paper</t>
  </si>
  <si>
    <t>Retail</t>
  </si>
  <si>
    <t>TMT</t>
  </si>
  <si>
    <t>Education</t>
  </si>
  <si>
    <t>Net Interest Expense</t>
  </si>
  <si>
    <t>% Interest to Sales</t>
  </si>
  <si>
    <t>Revenues</t>
  </si>
  <si>
    <t xml:space="preserve"> Comments</t>
  </si>
  <si>
    <t>COGS</t>
  </si>
  <si>
    <t>SG&amp;A</t>
  </si>
  <si>
    <t>SG&amp;A % of sales</t>
  </si>
  <si>
    <t>Gross Margin - %</t>
  </si>
  <si>
    <t>Gross Profit</t>
  </si>
  <si>
    <t>Fair Value 2027</t>
  </si>
  <si>
    <t>5yr avg</t>
  </si>
  <si>
    <t>Interest Expense</t>
  </si>
  <si>
    <t>Net Income</t>
  </si>
  <si>
    <t>Sensitivities 2027</t>
  </si>
  <si>
    <t>P/E</t>
  </si>
  <si>
    <t>Real Yield @ 6,0%</t>
  </si>
  <si>
    <t>Agribusiness</t>
  </si>
  <si>
    <t>Food &amp; Beverages</t>
  </si>
  <si>
    <t>Homebuilders</t>
  </si>
  <si>
    <t>Income Properties</t>
  </si>
  <si>
    <t>Sanitation</t>
  </si>
  <si>
    <t>Utilities &amp; Energy</t>
  </si>
  <si>
    <t>Itaú Unibanco</t>
  </si>
  <si>
    <t>BTG Pactual</t>
  </si>
  <si>
    <t>Ambev</t>
  </si>
  <si>
    <t>PRIO</t>
  </si>
  <si>
    <t>Banco do Brasil</t>
  </si>
  <si>
    <t>Equatorial Energia</t>
  </si>
  <si>
    <t>Vibra Energia</t>
  </si>
  <si>
    <t>Rede D'Or</t>
  </si>
  <si>
    <t>Suzano</t>
  </si>
  <si>
    <t>Rumo</t>
  </si>
  <si>
    <t>Telefônica Brasil</t>
  </si>
  <si>
    <t>Raia Drogasil</t>
  </si>
  <si>
    <t>TOTVS</t>
  </si>
  <si>
    <t>CSMG3&lt;XBSP&gt;</t>
  </si>
  <si>
    <t>Copasa</t>
  </si>
  <si>
    <t>Klabin</t>
  </si>
  <si>
    <t>Motiva</t>
  </si>
  <si>
    <t>Caixa Seguridade</t>
  </si>
  <si>
    <t>MBRF</t>
  </si>
  <si>
    <t>ISA Energia</t>
  </si>
  <si>
    <t>Met. Gerdau</t>
  </si>
  <si>
    <t>Santander</t>
  </si>
  <si>
    <t>CSN Mineração</t>
  </si>
  <si>
    <t>Iguatemi</t>
  </si>
  <si>
    <t>Brava Energia</t>
  </si>
  <si>
    <t>Cyrela</t>
  </si>
  <si>
    <t>Cury</t>
  </si>
  <si>
    <t>Cogna</t>
  </si>
  <si>
    <t>CSN</t>
  </si>
  <si>
    <t>TEND3&lt;XBSP&gt;</t>
  </si>
  <si>
    <t>Tenda</t>
  </si>
  <si>
    <t>Vivara</t>
  </si>
  <si>
    <t>YDUQS</t>
  </si>
  <si>
    <t>Magazine Luiza</t>
  </si>
  <si>
    <t>C&amp;A Modas</t>
  </si>
  <si>
    <t>27/10/2026</t>
  </si>
  <si>
    <t>Fair Value 2028</t>
  </si>
  <si>
    <t>WACC 13,6%, g at 4,7%</t>
  </si>
  <si>
    <t>2027 P/E and EPS</t>
  </si>
  <si>
    <t>2027 EV/EBITDA and EBITDA</t>
  </si>
  <si>
    <t>2027E EPS/EBITDA unchanged</t>
  </si>
  <si>
    <t>2027E EPS/EBITDA 10% higher</t>
  </si>
  <si>
    <t>Real Yield @ 7.6%</t>
  </si>
  <si>
    <t>FCFF - Bear (EBITDA/EBIT shock)</t>
  </si>
  <si>
    <t>2027E EPS/EBITDA 10% lower (DCF only)</t>
  </si>
  <si>
    <t>Fwd. EV/EBITDA 5,0x</t>
  </si>
  <si>
    <t>Analyst's price targets, -10% haircut</t>
  </si>
  <si>
    <t>P/E 11.0x</t>
  </si>
  <si>
    <t>EV/EBITDA 5.0x</t>
  </si>
  <si>
    <t>Bottom up -10%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</si>
</sst>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3" formatCode="_-* #,##0.00_-;\-* #,##0.00_-;_-* &quot;-&quot;??_-;_-@_-"/>
    <numFmt numFmtId="164" formatCode="0.0%"/>
    <numFmt numFmtId="165" formatCode="0.0"/>
    <numFmt numFmtId="166" formatCode="_-* #,##0_-;\-* #,##0_-;_-* &quot;-&quot;??_-;_-@_-"/>
    <numFmt numFmtId="167" formatCode="_-* #,##0.0_-;\-* #,##0.0_-;_-* &quot;-&quot;?_-;_-@_-"/>
    <numFmt numFmtId="168" formatCode="#,##0_ ;\-#,##0\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Roboto Light"/>
    </font>
    <font>
      <sz val="10"/>
      <color theme="1"/>
      <name val="Roboto Light"/>
    </font>
    <font>
      <b/>
      <sz val="11"/>
      <color theme="0"/>
      <name val="Roboto"/>
    </font>
    <font>
      <sz val="11"/>
      <color theme="1"/>
      <name val="Roboto"/>
    </font>
    <font>
      <b/>
      <sz val="11"/>
      <color theme="1"/>
      <name val="Roboto"/>
    </font>
    <font>
      <b/>
      <sz val="10"/>
      <name val="Roboto Light"/>
    </font>
    <font>
      <b/>
      <sz val="10"/>
      <color theme="0"/>
      <name val="Roboto Light"/>
    </font>
    <font>
      <sz val="10"/>
      <color rgb="FFFF0000"/>
      <name val="Roboto Light"/>
    </font>
    <font>
      <sz val="10"/>
      <color theme="0"/>
      <name val="Roboto Light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72333"/>
      <name val="Calibri"/>
      <family val="2"/>
      <scheme val="minor"/>
    </font>
    <font>
      <sz val="11"/>
      <color rgb="FF1F519C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3F7CDA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EB3D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2F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mediumDashed">
        <color theme="1"/>
      </top>
      <bottom style="mediumDashed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7">
    <xf numFmtId="0" fontId="0" fillId="0" borderId="0" xfId="0"/>
    <xf numFmtId="9" fontId="0" fillId="0" borderId="0" xfId="0" applyNumberFormat="1"/>
    <xf numFmtId="14" fontId="0" fillId="0" borderId="0" xfId="0" applyNumberFormat="1"/>
    <xf numFmtId="9" fontId="0" fillId="0" borderId="0" xfId="2" applyFont="1"/>
    <xf numFmtId="164" fontId="0" fillId="0" borderId="0" xfId="2" applyNumberFormat="1" applyFont="1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4" fillId="2" borderId="0" xfId="0" applyFont="1" applyFill="1"/>
    <xf numFmtId="0" fontId="2" fillId="2" borderId="0" xfId="0" applyFont="1" applyFill="1"/>
    <xf numFmtId="9" fontId="5" fillId="0" borderId="1" xfId="0" applyNumberFormat="1" applyFont="1" applyBorder="1"/>
    <xf numFmtId="9" fontId="5" fillId="0" borderId="2" xfId="0" applyNumberFormat="1" applyFont="1" applyBorder="1"/>
    <xf numFmtId="164" fontId="5" fillId="0" borderId="2" xfId="0" applyNumberFormat="1" applyFont="1" applyBorder="1"/>
    <xf numFmtId="166" fontId="0" fillId="0" borderId="0" xfId="1" applyNumberFormat="1" applyFont="1"/>
    <xf numFmtId="0" fontId="3" fillId="0" borderId="3" xfId="0" applyFont="1" applyBorder="1"/>
    <xf numFmtId="166" fontId="3" fillId="0" borderId="3" xfId="1" applyNumberFormat="1" applyFont="1" applyBorder="1"/>
    <xf numFmtId="167" fontId="0" fillId="0" borderId="0" xfId="0" applyNumberFormat="1"/>
    <xf numFmtId="166" fontId="0" fillId="0" borderId="0" xfId="0" applyNumberFormat="1"/>
    <xf numFmtId="0" fontId="3" fillId="0" borderId="4" xfId="0" applyFont="1" applyBorder="1"/>
    <xf numFmtId="164" fontId="3" fillId="0" borderId="5" xfId="0" applyNumberFormat="1" applyFont="1" applyBorder="1"/>
    <xf numFmtId="0" fontId="3" fillId="0" borderId="6" xfId="0" applyFont="1" applyBorder="1"/>
    <xf numFmtId="0" fontId="3" fillId="3" borderId="6" xfId="0" applyFont="1" applyFill="1" applyBorder="1"/>
    <xf numFmtId="166" fontId="3" fillId="3" borderId="6" xfId="0" applyNumberFormat="1" applyFont="1" applyFill="1" applyBorder="1"/>
    <xf numFmtId="166" fontId="3" fillId="0" borderId="6" xfId="1" applyNumberFormat="1" applyFont="1" applyBorder="1"/>
    <xf numFmtId="0" fontId="3" fillId="0" borderId="0" xfId="0" applyFont="1"/>
    <xf numFmtId="166" fontId="3" fillId="3" borderId="6" xfId="1" applyNumberFormat="1" applyFont="1" applyFill="1" applyBorder="1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3" fontId="6" fillId="0" borderId="0" xfId="0" applyNumberFormat="1" applyFont="1"/>
    <xf numFmtId="166" fontId="6" fillId="0" borderId="0" xfId="1" applyNumberFormat="1" applyFont="1"/>
    <xf numFmtId="43" fontId="6" fillId="0" borderId="0" xfId="1" applyFont="1"/>
    <xf numFmtId="1" fontId="0" fillId="0" borderId="0" xfId="0" applyNumberFormat="1"/>
    <xf numFmtId="10" fontId="6" fillId="0" borderId="0" xfId="0" applyNumberFormat="1" applyFont="1"/>
    <xf numFmtId="164" fontId="6" fillId="0" borderId="0" xfId="0" applyNumberFormat="1" applyFont="1"/>
    <xf numFmtId="0" fontId="0" fillId="4" borderId="0" xfId="0" applyFill="1"/>
    <xf numFmtId="43" fontId="6" fillId="0" borderId="0" xfId="0" applyNumberFormat="1" applyFont="1"/>
    <xf numFmtId="165" fontId="7" fillId="0" borderId="0" xfId="0" applyNumberFormat="1" applyFont="1"/>
    <xf numFmtId="10" fontId="0" fillId="0" borderId="0" xfId="2" applyNumberFormat="1" applyFont="1"/>
    <xf numFmtId="3" fontId="9" fillId="0" borderId="0" xfId="0" applyNumberFormat="1" applyFont="1"/>
    <xf numFmtId="3" fontId="0" fillId="0" borderId="0" xfId="0" applyNumberFormat="1" applyAlignment="1">
      <alignment horizontal="center"/>
    </xf>
    <xf numFmtId="10" fontId="3" fillId="5" borderId="0" xfId="0" applyNumberFormat="1" applyFont="1" applyFill="1"/>
    <xf numFmtId="3" fontId="3" fillId="5" borderId="0" xfId="0" applyNumberFormat="1" applyFont="1" applyFill="1" applyAlignment="1">
      <alignment horizontal="center"/>
    </xf>
    <xf numFmtId="168" fontId="0" fillId="0" borderId="0" xfId="0" applyNumberFormat="1"/>
    <xf numFmtId="3" fontId="3" fillId="0" borderId="6" xfId="0" applyNumberFormat="1" applyFont="1" applyBorder="1"/>
    <xf numFmtId="10" fontId="0" fillId="0" borderId="0" xfId="0" applyNumberFormat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7" xfId="0" applyFont="1" applyBorder="1"/>
    <xf numFmtId="0" fontId="10" fillId="0" borderId="0" xfId="0" applyFont="1" applyAlignment="1">
      <alignment horizontal="center"/>
    </xf>
    <xf numFmtId="10" fontId="0" fillId="7" borderId="0" xfId="0" applyNumberFormat="1" applyFill="1"/>
    <xf numFmtId="165" fontId="6" fillId="0" borderId="0" xfId="0" applyNumberFormat="1" applyFont="1"/>
    <xf numFmtId="0" fontId="6" fillId="0" borderId="0" xfId="0" applyFont="1"/>
    <xf numFmtId="0" fontId="12" fillId="6" borderId="0" xfId="0" applyFont="1" applyFill="1"/>
    <xf numFmtId="0" fontId="12" fillId="6" borderId="0" xfId="0" applyFont="1" applyFill="1" applyAlignment="1">
      <alignment horizontal="center"/>
    </xf>
    <xf numFmtId="0" fontId="13" fillId="0" borderId="0" xfId="0" applyFont="1"/>
    <xf numFmtId="168" fontId="13" fillId="0" borderId="0" xfId="1" applyNumberFormat="1" applyFont="1" applyAlignment="1">
      <alignment horizontal="center"/>
    </xf>
    <xf numFmtId="0" fontId="13" fillId="0" borderId="0" xfId="0" applyFont="1" applyAlignment="1">
      <alignment horizontal="center"/>
    </xf>
    <xf numFmtId="168" fontId="13" fillId="0" borderId="0" xfId="0" applyNumberFormat="1" applyFont="1" applyAlignment="1">
      <alignment horizontal="center"/>
    </xf>
    <xf numFmtId="0" fontId="13" fillId="0" borderId="7" xfId="0" applyFont="1" applyBorder="1"/>
    <xf numFmtId="168" fontId="13" fillId="0" borderId="7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0" xfId="0" applyFont="1"/>
    <xf numFmtId="168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9" fontId="13" fillId="0" borderId="0" xfId="2" applyFont="1" applyAlignment="1">
      <alignment horizontal="center"/>
    </xf>
    <xf numFmtId="168" fontId="11" fillId="0" borderId="0" xfId="1" applyNumberFormat="1" applyFont="1" applyFill="1" applyAlignment="1">
      <alignment horizontal="center"/>
    </xf>
    <xf numFmtId="0" fontId="11" fillId="0" borderId="10" xfId="0" applyFont="1" applyBorder="1" applyAlignment="1">
      <alignment horizontal="center"/>
    </xf>
    <xf numFmtId="168" fontId="11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9" fontId="11" fillId="0" borderId="0" xfId="2" applyFont="1" applyFill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66" fontId="0" fillId="3" borderId="0" xfId="1" applyNumberFormat="1" applyFont="1" applyFill="1"/>
    <xf numFmtId="168" fontId="11" fillId="0" borderId="0" xfId="1" applyNumberFormat="1" applyFont="1" applyFill="1" applyBorder="1" applyAlignment="1">
      <alignment horizontal="center"/>
    </xf>
    <xf numFmtId="0" fontId="10" fillId="0" borderId="0" xfId="0" applyFont="1"/>
    <xf numFmtId="9" fontId="11" fillId="0" borderId="0" xfId="2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168" fontId="11" fillId="0" borderId="7" xfId="1" applyNumberFormat="1" applyFont="1" applyFill="1" applyBorder="1" applyAlignment="1">
      <alignment horizontal="center"/>
    </xf>
    <xf numFmtId="0" fontId="11" fillId="8" borderId="0" xfId="0" applyFont="1" applyFill="1"/>
    <xf numFmtId="168" fontId="11" fillId="0" borderId="0" xfId="0" applyNumberFormat="1" applyFont="1"/>
    <xf numFmtId="3" fontId="11" fillId="0" borderId="0" xfId="0" applyNumberFormat="1" applyFont="1"/>
    <xf numFmtId="0" fontId="10" fillId="0" borderId="6" xfId="0" applyFont="1" applyBorder="1"/>
    <xf numFmtId="3" fontId="10" fillId="0" borderId="6" xfId="0" applyNumberFormat="1" applyFont="1" applyBorder="1"/>
    <xf numFmtId="0" fontId="10" fillId="0" borderId="7" xfId="0" applyFont="1" applyBorder="1"/>
    <xf numFmtId="3" fontId="10" fillId="0" borderId="7" xfId="0" applyNumberFormat="1" applyFont="1" applyBorder="1"/>
    <xf numFmtId="0" fontId="16" fillId="8" borderId="0" xfId="0" applyFont="1" applyFill="1"/>
    <xf numFmtId="0" fontId="2" fillId="8" borderId="0" xfId="0" applyFont="1" applyFill="1" applyAlignment="1">
      <alignment horizontal="center"/>
    </xf>
    <xf numFmtId="165" fontId="2" fillId="8" borderId="0" xfId="0" applyNumberFormat="1" applyFont="1" applyFill="1" applyAlignment="1">
      <alignment horizontal="center"/>
    </xf>
    <xf numFmtId="168" fontId="2" fillId="8" borderId="0" xfId="1" applyNumberFormat="1" applyFont="1" applyFill="1" applyAlignment="1">
      <alignment horizontal="center"/>
    </xf>
    <xf numFmtId="168" fontId="3" fillId="9" borderId="8" xfId="0" applyNumberFormat="1" applyFont="1" applyFill="1" applyBorder="1" applyAlignment="1">
      <alignment horizontal="center"/>
    </xf>
    <xf numFmtId="168" fontId="0" fillId="9" borderId="0" xfId="0" applyNumberFormat="1" applyFill="1" applyAlignment="1">
      <alignment horizontal="center"/>
    </xf>
    <xf numFmtId="168" fontId="3" fillId="9" borderId="0" xfId="0" applyNumberFormat="1" applyFont="1" applyFill="1" applyAlignment="1">
      <alignment horizontal="center"/>
    </xf>
    <xf numFmtId="10" fontId="3" fillId="9" borderId="0" xfId="0" applyNumberFormat="1" applyFont="1" applyFill="1" applyAlignment="1">
      <alignment horizontal="center"/>
    </xf>
    <xf numFmtId="3" fontId="3" fillId="9" borderId="0" xfId="0" applyNumberFormat="1" applyFont="1" applyFill="1" applyAlignment="1">
      <alignment horizontal="center"/>
    </xf>
    <xf numFmtId="14" fontId="4" fillId="2" borderId="0" xfId="0" applyNumberFormat="1" applyFont="1" applyFill="1"/>
    <xf numFmtId="0" fontId="17" fillId="0" borderId="0" xfId="0" applyFont="1"/>
    <xf numFmtId="0" fontId="18" fillId="10" borderId="0" xfId="0" applyFont="1" applyFill="1"/>
    <xf numFmtId="0" fontId="11" fillId="11" borderId="0" xfId="0" quotePrefix="1" applyFont="1" applyFill="1" applyAlignment="1">
      <alignment horizontal="center" vertical="center"/>
    </xf>
    <xf numFmtId="14" fontId="11" fillId="11" borderId="0" xfId="0" applyNumberFormat="1" applyFont="1" applyFill="1" applyAlignment="1">
      <alignment horizontal="center" vertical="center"/>
    </xf>
    <xf numFmtId="164" fontId="11" fillId="0" borderId="0" xfId="2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center" vertical="center"/>
    </xf>
    <xf numFmtId="0" fontId="11" fillId="9" borderId="0" xfId="0" applyFont="1" applyFill="1"/>
    <xf numFmtId="0" fontId="11" fillId="9" borderId="0" xfId="0" applyFont="1" applyFill="1" applyAlignment="1">
      <alignment horizontal="center"/>
    </xf>
    <xf numFmtId="164" fontId="11" fillId="9" borderId="0" xfId="2" applyNumberFormat="1" applyFont="1" applyFill="1" applyAlignment="1">
      <alignment horizontal="center"/>
    </xf>
    <xf numFmtId="0" fontId="11" fillId="9" borderId="0" xfId="0" applyFont="1" applyFill="1" applyAlignment="1">
      <alignment horizontal="center" vertical="center"/>
    </xf>
    <xf numFmtId="2" fontId="11" fillId="9" borderId="0" xfId="0" applyNumberFormat="1" applyFont="1" applyFill="1" applyAlignment="1">
      <alignment horizontal="center" vertical="center"/>
    </xf>
    <xf numFmtId="9" fontId="11" fillId="9" borderId="0" xfId="2" applyFont="1" applyFill="1" applyAlignment="1">
      <alignment horizontal="center" vertical="center"/>
    </xf>
    <xf numFmtId="9" fontId="0" fillId="0" borderId="0" xfId="0" applyNumberFormat="1" applyAlignment="1">
      <alignment horizontal="center"/>
    </xf>
    <xf numFmtId="14" fontId="11" fillId="0" borderId="0" xfId="0" applyNumberFormat="1" applyFont="1"/>
    <xf numFmtId="14" fontId="0" fillId="0" borderId="0" xfId="0" applyNumberFormat="1" applyAlignment="1">
      <alignment horizontal="center"/>
    </xf>
    <xf numFmtId="0" fontId="10" fillId="12" borderId="0" xfId="0" applyFont="1" applyFill="1" applyAlignment="1">
      <alignment horizontal="center" vertical="center"/>
    </xf>
    <xf numFmtId="2" fontId="11" fillId="13" borderId="0" xfId="0" applyNumberFormat="1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5" fillId="11" borderId="11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68" fontId="11" fillId="0" borderId="0" xfId="1" applyNumberFormat="1" applyFont="1" applyFill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8" fontId="11" fillId="0" borderId="7" xfId="1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9" fontId="11" fillId="0" borderId="0" xfId="2" applyFont="1" applyFill="1" applyAlignment="1">
      <alignment horizontal="center" vertical="center"/>
    </xf>
    <xf numFmtId="166" fontId="0" fillId="0" borderId="0" xfId="1" applyNumberFormat="1" applyFont="1" applyAlignment="1">
      <alignment horizontal="center"/>
    </xf>
    <xf numFmtId="14" fontId="19" fillId="3" borderId="0" xfId="0" applyNumberFormat="1" applyFont="1" applyFill="1"/>
    <xf numFmtId="0" fontId="19" fillId="0" borderId="0" xfId="0" applyFont="1"/>
    <xf numFmtId="165" fontId="9" fillId="0" borderId="0" xfId="0" applyNumberFormat="1" applyFont="1"/>
    <xf numFmtId="164" fontId="0" fillId="0" borderId="0" xfId="2" applyNumberFormat="1" applyFont="1" applyBorder="1" applyAlignment="1">
      <alignment horizontal="center"/>
    </xf>
    <xf numFmtId="166" fontId="0" fillId="0" borderId="0" xfId="1" applyNumberFormat="1" applyFont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166" fontId="19" fillId="3" borderId="4" xfId="1" applyNumberFormat="1" applyFont="1" applyFill="1" applyBorder="1"/>
    <xf numFmtId="166" fontId="19" fillId="3" borderId="5" xfId="1" applyNumberFormat="1" applyFont="1" applyFill="1" applyBorder="1"/>
    <xf numFmtId="0" fontId="11" fillId="0" borderId="0" xfId="0" quotePrefix="1" applyFont="1"/>
    <xf numFmtId="0" fontId="11" fillId="0" borderId="0" xfId="0" quotePrefix="1" applyFont="1" applyAlignment="1">
      <alignment horizontal="center"/>
    </xf>
    <xf numFmtId="2" fontId="11" fillId="0" borderId="0" xfId="0" quotePrefix="1" applyNumberFormat="1" applyFont="1"/>
    <xf numFmtId="166" fontId="0" fillId="0" borderId="0" xfId="1" quotePrefix="1" applyNumberFormat="1" applyFont="1" applyBorder="1" applyAlignment="1">
      <alignment horizontal="center"/>
    </xf>
    <xf numFmtId="168" fontId="0" fillId="0" borderId="7" xfId="0" applyNumberFormat="1" applyBorder="1"/>
    <xf numFmtId="168" fontId="11" fillId="0" borderId="7" xfId="0" applyNumberFormat="1" applyFont="1" applyBorder="1"/>
    <xf numFmtId="0" fontId="11" fillId="12" borderId="0" xfId="0" applyFont="1" applyFill="1"/>
    <xf numFmtId="0" fontId="10" fillId="12" borderId="0" xfId="0" applyFont="1" applyFill="1"/>
    <xf numFmtId="8" fontId="0" fillId="0" borderId="0" xfId="0" applyNumberFormat="1"/>
    <xf numFmtId="164" fontId="18" fillId="14" borderId="0" xfId="2" applyNumberFormat="1" applyFont="1" applyFill="1" applyAlignment="1">
      <alignment horizontal="center" vertical="center"/>
    </xf>
    <xf numFmtId="164" fontId="18" fillId="14" borderId="0" xfId="0" applyNumberFormat="1" applyFont="1" applyFill="1" applyAlignment="1">
      <alignment horizontal="center" vertical="center"/>
    </xf>
    <xf numFmtId="10" fontId="18" fillId="14" borderId="0" xfId="0" applyNumberFormat="1" applyFont="1" applyFill="1" applyAlignment="1">
      <alignment horizontal="center"/>
    </xf>
    <xf numFmtId="3" fontId="11" fillId="0" borderId="0" xfId="0" applyNumberFormat="1" applyFont="1" applyAlignment="1">
      <alignment horizontal="center"/>
    </xf>
    <xf numFmtId="0" fontId="0" fillId="0" borderId="13" xfId="0" applyBorder="1"/>
    <xf numFmtId="10" fontId="0" fillId="0" borderId="14" xfId="0" applyNumberFormat="1" applyBorder="1"/>
    <xf numFmtId="3" fontId="10" fillId="0" borderId="16" xfId="0" applyNumberFormat="1" applyFont="1" applyBorder="1" applyAlignment="1">
      <alignment horizontal="center"/>
    </xf>
    <xf numFmtId="3" fontId="11" fillId="0" borderId="17" xfId="0" applyNumberFormat="1" applyFont="1" applyBorder="1" applyAlignment="1">
      <alignment horizontal="center"/>
    </xf>
    <xf numFmtId="3" fontId="11" fillId="0" borderId="18" xfId="0" applyNumberFormat="1" applyFont="1" applyBorder="1" applyAlignment="1">
      <alignment horizontal="center"/>
    </xf>
    <xf numFmtId="3" fontId="11" fillId="0" borderId="19" xfId="0" applyNumberFormat="1" applyFont="1" applyBorder="1" applyAlignment="1">
      <alignment horizontal="center"/>
    </xf>
    <xf numFmtId="3" fontId="11" fillId="0" borderId="20" xfId="0" applyNumberFormat="1" applyFont="1" applyBorder="1" applyAlignment="1">
      <alignment horizontal="center"/>
    </xf>
    <xf numFmtId="3" fontId="11" fillId="0" borderId="21" xfId="0" applyNumberFormat="1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3" fontId="11" fillId="0" borderId="15" xfId="0" applyNumberFormat="1" applyFont="1" applyBorder="1" applyAlignment="1">
      <alignment horizontal="center"/>
    </xf>
    <xf numFmtId="3" fontId="11" fillId="0" borderId="23" xfId="0" applyNumberFormat="1" applyFont="1" applyBorder="1" applyAlignment="1">
      <alignment horizontal="center"/>
    </xf>
    <xf numFmtId="164" fontId="11" fillId="9" borderId="0" xfId="2" applyNumberFormat="1" applyFont="1" applyFill="1" applyAlignment="1">
      <alignment horizontal="center" vertical="center"/>
    </xf>
    <xf numFmtId="2" fontId="11" fillId="0" borderId="0" xfId="0" quotePrefix="1" applyNumberFormat="1" applyFont="1" applyAlignment="1">
      <alignment horizontal="center"/>
    </xf>
    <xf numFmtId="164" fontId="6" fillId="0" borderId="0" xfId="2" applyNumberFormat="1" applyFont="1"/>
    <xf numFmtId="164" fontId="6" fillId="13" borderId="0" xfId="2" applyNumberFormat="1" applyFont="1" applyFill="1"/>
    <xf numFmtId="0" fontId="3" fillId="0" borderId="7" xfId="0" applyFont="1" applyBorder="1"/>
    <xf numFmtId="164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3" fillId="0" borderId="24" xfId="0" applyFont="1" applyBorder="1"/>
    <xf numFmtId="168" fontId="3" fillId="0" borderId="24" xfId="0" applyNumberFormat="1" applyFont="1" applyBorder="1" applyAlignment="1">
      <alignment horizontal="center"/>
    </xf>
    <xf numFmtId="9" fontId="3" fillId="0" borderId="24" xfId="2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5" fillId="6" borderId="0" xfId="0" applyFont="1" applyFill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6" fillId="14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/>
    </xf>
    <xf numFmtId="0" fontId="20" fillId="2" borderId="0" xfId="0" applyFont="1" applyFill="1"/>
    <xf numFmtId="10" fontId="21" fillId="0" borderId="0" xfId="0" applyNumberFormat="1" applyFont="1"/>
    <xf numFmtId="164" fontId="21" fillId="0" borderId="0" xfId="0" applyNumberFormat="1" applyFont="1"/>
    <xf numFmtId="9" fontId="21" fillId="0" borderId="0" xfId="0" applyNumberFormat="1" applyFont="1"/>
    <xf numFmtId="0" fontId="21" fillId="0" borderId="0" xfId="0" applyFont="1"/>
    <xf numFmtId="164" fontId="21" fillId="0" borderId="0" xfId="2" applyNumberFormat="1" applyFont="1"/>
    <xf numFmtId="164" fontId="22" fillId="0" borderId="0" xfId="2" applyNumberFormat="1" applyFont="1"/>
    <xf numFmtId="9" fontId="22" fillId="0" borderId="1" xfId="0" applyNumberFormat="1" applyFont="1" applyBorder="1"/>
    <xf numFmtId="9" fontId="22" fillId="0" borderId="2" xfId="0" applyNumberFormat="1" applyFont="1" applyBorder="1"/>
    <xf numFmtId="166" fontId="21" fillId="0" borderId="0" xfId="1" applyNumberFormat="1" applyFont="1"/>
    <xf numFmtId="3" fontId="21" fillId="0" borderId="0" xfId="0" applyNumberFormat="1" applyFont="1"/>
    <xf numFmtId="166" fontId="21" fillId="13" borderId="0" xfId="1" applyNumberFormat="1" applyFont="1" applyFill="1"/>
    <xf numFmtId="3" fontId="21" fillId="13" borderId="0" xfId="0" applyNumberFormat="1" applyFont="1" applyFill="1"/>
    <xf numFmtId="164" fontId="23" fillId="0" borderId="0" xfId="2" applyNumberFormat="1" applyFont="1"/>
    <xf numFmtId="164" fontId="23" fillId="0" borderId="2" xfId="0" applyNumberFormat="1" applyFont="1" applyBorder="1"/>
    <xf numFmtId="166" fontId="24" fillId="0" borderId="3" xfId="1" applyNumberFormat="1" applyFont="1" applyBorder="1"/>
    <xf numFmtId="165" fontId="21" fillId="0" borderId="0" xfId="0" applyNumberFormat="1" applyFont="1"/>
    <xf numFmtId="164" fontId="25" fillId="0" borderId="0" xfId="2" applyNumberFormat="1" applyFont="1"/>
    <xf numFmtId="9" fontId="25" fillId="0" borderId="0" xfId="0" applyNumberFormat="1" applyFont="1"/>
    <xf numFmtId="1" fontId="21" fillId="0" borderId="0" xfId="0" applyNumberFormat="1" applyFont="1"/>
    <xf numFmtId="166" fontId="21" fillId="0" borderId="0" xfId="0" applyNumberFormat="1" applyFont="1"/>
    <xf numFmtId="0" fontId="26" fillId="0" borderId="0" xfId="0" applyFont="1"/>
    <xf numFmtId="9" fontId="17" fillId="0" borderId="0" xfId="0" applyNumberFormat="1" applyFont="1"/>
    <xf numFmtId="9" fontId="6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1F2F44"/>
      <color rgb="FF8EB3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514502627062333E-2"/>
          <c:y val="7.8977932636469225E-2"/>
          <c:w val="0.8947702575429437"/>
          <c:h val="0.519104136373197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27-4562-BE2D-546BD60F6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'Bottom up'!$S$23:$S$39</c:f>
              <c:strCache>
                <c:ptCount val="17"/>
                <c:pt idx="0">
                  <c:v>Homebuilders</c:v>
                </c:pt>
                <c:pt idx="1">
                  <c:v>Transportation</c:v>
                </c:pt>
                <c:pt idx="2">
                  <c:v>Retail</c:v>
                </c:pt>
                <c:pt idx="3">
                  <c:v>Education</c:v>
                </c:pt>
                <c:pt idx="4">
                  <c:v>Sanitation</c:v>
                </c:pt>
                <c:pt idx="5">
                  <c:v>Income Properties</c:v>
                </c:pt>
                <c:pt idx="6">
                  <c:v>Utilities &amp; Energy</c:v>
                </c:pt>
                <c:pt idx="7">
                  <c:v>Metals &amp; Mining</c:v>
                </c:pt>
                <c:pt idx="8">
                  <c:v>Ibovespa</c:v>
                </c:pt>
                <c:pt idx="9">
                  <c:v>Pulp &amp; Paper</c:v>
                </c:pt>
                <c:pt idx="10">
                  <c:v>Banks</c:v>
                </c:pt>
                <c:pt idx="11">
                  <c:v>TMT</c:v>
                </c:pt>
                <c:pt idx="12">
                  <c:v>Health Care</c:v>
                </c:pt>
                <c:pt idx="13">
                  <c:v>Oil, Gas &amp; Petrochemicals</c:v>
                </c:pt>
                <c:pt idx="14">
                  <c:v>Capital Goods</c:v>
                </c:pt>
                <c:pt idx="15">
                  <c:v>Agribusiness</c:v>
                </c:pt>
                <c:pt idx="16">
                  <c:v>Food &amp; Beverages</c:v>
                </c:pt>
              </c:strCache>
            </c:strRef>
          </c:cat>
          <c:val>
            <c:numRef>
              <c:f>'Bottom up'!$T$23:$T$39</c:f>
              <c:numCache>
                <c:formatCode>0%</c:formatCode>
                <c:ptCount val="17"/>
                <c:pt idx="0">
                  <c:v>0.92062098237964141</c:v>
                </c:pt>
                <c:pt idx="1">
                  <c:v>0.86026313457478432</c:v>
                </c:pt>
                <c:pt idx="2">
                  <c:v>0.74675108813203006</c:v>
                </c:pt>
                <c:pt idx="3">
                  <c:v>0.59695804720870482</c:v>
                </c:pt>
                <c:pt idx="4">
                  <c:v>0.49646372187183785</c:v>
                </c:pt>
                <c:pt idx="5">
                  <c:v>0.42702706526550194</c:v>
                </c:pt>
                <c:pt idx="6">
                  <c:v>0.40412822192244102</c:v>
                </c:pt>
                <c:pt idx="7">
                  <c:v>0.30881388336476173</c:v>
                </c:pt>
                <c:pt idx="8">
                  <c:v>0.28113920956532795</c:v>
                </c:pt>
                <c:pt idx="9">
                  <c:v>0.2699748578370223</c:v>
                </c:pt>
                <c:pt idx="10">
                  <c:v>0.23052042699268147</c:v>
                </c:pt>
                <c:pt idx="11">
                  <c:v>0.22450617362523362</c:v>
                </c:pt>
                <c:pt idx="12">
                  <c:v>0.21702274991836962</c:v>
                </c:pt>
                <c:pt idx="13">
                  <c:v>0.1666907852025469</c:v>
                </c:pt>
                <c:pt idx="14">
                  <c:v>0.16154440614538623</c:v>
                </c:pt>
                <c:pt idx="15">
                  <c:v>0</c:v>
                </c:pt>
                <c:pt idx="16">
                  <c:v>-6.9552387633352628E-2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E4-4145-BCEF-59B646D927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970821871"/>
        <c:axId val="970823119"/>
      </c:barChart>
      <c:catAx>
        <c:axId val="97082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823119"/>
        <c:crosses val="autoZero"/>
        <c:auto val="1"/>
        <c:lblAlgn val="ctr"/>
        <c:lblOffset val="100"/>
        <c:noMultiLvlLbl val="0"/>
      </c:catAx>
      <c:valAx>
        <c:axId val="9708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82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47624</xdr:colOff>
      <xdr:row>16</xdr:row>
      <xdr:rowOff>95250</xdr:rowOff>
    </xdr:from>
    <xdr:to>
      <xdr:col>8</xdr:col>
      <xdr:colOff>1419400</xdr:colOff>
      <xdr:row>18</xdr:row>
      <xdr:rowOff>130175</xdr:rowOff>
    </xdr:to>
    <xdr:pic>
      <xdr:nvPicPr>
        <xdr:cNvPr id="5" name="Imagem 5">
          <a:extLst>
            <a:ext uri="{FF2B5EF4-FFF2-40B4-BE49-F238E27FC236}">
              <a16:creationId xmlns:a16="http://schemas.microsoft.com/office/drawing/2014/main" id="{09B1F1FD-9FF6-467D-925E-2F37A3A22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49" y="2990850"/>
          <a:ext cx="3152951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1565274</xdr:colOff>
      <xdr:row>22</xdr:row>
      <xdr:rowOff>12700</xdr:rowOff>
    </xdr:from>
    <xdr:ext cx="3152951" cy="403225"/>
    <xdr:pic>
      <xdr:nvPicPr>
        <xdr:cNvPr id="7" name="Imagem 5">
          <a:extLst>
            <a:ext uri="{FF2B5EF4-FFF2-40B4-BE49-F238E27FC236}">
              <a16:creationId xmlns:a16="http://schemas.microsoft.com/office/drawing/2014/main" id="{EFFC0BCC-B1FD-406C-954E-8FFA9F435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4" y="3879850"/>
          <a:ext cx="3152951" cy="403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13</xdr:col>
      <xdr:colOff>0</xdr:colOff>
      <xdr:row>24</xdr:row>
      <xdr:rowOff>0</xdr:rowOff>
    </xdr:from>
    <xdr:to>
      <xdr:col>18</xdr:col>
      <xdr:colOff>542925</xdr:colOff>
      <xdr:row>30</xdr:row>
      <xdr:rowOff>9526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70B8BD1-ECB2-682F-4610-082002714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2700" y="4235450"/>
          <a:ext cx="3587750" cy="111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18</xdr:col>
      <xdr:colOff>542925</xdr:colOff>
      <xdr:row>38</xdr:row>
      <xdr:rowOff>9524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3CCE687-8A67-151B-9002-42E72E3EC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2700" y="5708650"/>
          <a:ext cx="3587750" cy="111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18</xdr:col>
      <xdr:colOff>542925</xdr:colOff>
      <xdr:row>46</xdr:row>
      <xdr:rowOff>9526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1C4B128-6CFF-EA92-A1FF-09F73870B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2700" y="7181850"/>
          <a:ext cx="3587750" cy="111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23</xdr:col>
      <xdr:colOff>523875</xdr:colOff>
      <xdr:row>20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C620B40-943C-97A9-15DA-8D36FCF1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2700" y="2393950"/>
          <a:ext cx="662305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14</xdr:col>
      <xdr:colOff>539750</xdr:colOff>
      <xdr:row>39</xdr:row>
      <xdr:rowOff>6351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AAB35A-1C4C-F864-B417-E125AFC24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5524500"/>
          <a:ext cx="6623050" cy="147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433612</xdr:colOff>
      <xdr:row>5</xdr:row>
      <xdr:rowOff>5895</xdr:rowOff>
    </xdr:from>
    <xdr:to>
      <xdr:col>28</xdr:col>
      <xdr:colOff>163286</xdr:colOff>
      <xdr:row>19</xdr:row>
      <xdr:rowOff>149678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81B28-897E-44E7-B8C4-52E2C969D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BDA">
      <a:dk1>
        <a:sysClr val="windowText" lastClr="000000"/>
      </a:dk1>
      <a:lt1>
        <a:sysClr val="window" lastClr="FFFFFF"/>
      </a:lt1>
      <a:dk2>
        <a:srgbClr val="3F3F3F"/>
      </a:dk2>
      <a:lt2>
        <a:srgbClr val="74797C"/>
      </a:lt2>
      <a:accent1>
        <a:srgbClr val="1F2F44"/>
      </a:accent1>
      <a:accent2>
        <a:srgbClr val="F9C113"/>
      </a:accent2>
      <a:accent3>
        <a:srgbClr val="8EB3E9"/>
      </a:accent3>
      <a:accent4>
        <a:srgbClr val="707971"/>
      </a:accent4>
      <a:accent5>
        <a:srgbClr val="494849"/>
      </a:accent5>
      <a:accent6>
        <a:srgbClr val="000000"/>
      </a:accent6>
      <a:hlink>
        <a:srgbClr val="3F3F3F"/>
      </a:hlink>
      <a:folHlink>
        <a:srgbClr val="74797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D552-126F-47DA-9212-D05CA157CD1F}">
  <dimension ref="A3:W151"/>
  <sheetViews>
    <sheetView showGridLines="0" tabSelected="1" topLeftCell="A110" zoomScale="70" zoomScaleNormal="70" workbookViewId="0">
      <pane xSplit="1" topLeftCell="B1" activePane="topRight" state="frozen"/>
      <selection pane="topRight" activeCell="C137" sqref="C137"/>
    </sheetView>
  </sheetViews>
  <sheetFormatPr defaultRowHeight="14.4" outlineLevelCol="1" x14ac:dyDescent="0.3"/>
  <cols>
    <col min="1" max="1" width="20.44140625" bestFit="1" customWidth="1"/>
    <col min="2" max="2" width="31.5546875" customWidth="1"/>
    <col min="3" max="3" width="18.44140625" customWidth="1" outlineLevel="1"/>
    <col min="4" max="4" width="21.44140625" customWidth="1" outlineLevel="1"/>
    <col min="5" max="5" width="22.44140625" customWidth="1" outlineLevel="1"/>
    <col min="6" max="6" width="18.5546875" bestFit="1" customWidth="1"/>
    <col min="7" max="7" width="21.77734375" customWidth="1"/>
    <col min="8" max="8" width="24.5546875" bestFit="1" customWidth="1"/>
    <col min="9" max="10" width="15.5546875" bestFit="1" customWidth="1"/>
    <col min="11" max="11" width="14.5546875" customWidth="1"/>
    <col min="12" max="12" width="11.5546875" customWidth="1"/>
    <col min="13" max="13" width="11.44140625" bestFit="1" customWidth="1"/>
    <col min="14" max="14" width="12.44140625" bestFit="1" customWidth="1"/>
    <col min="15" max="18" width="12.5546875" customWidth="1"/>
    <col min="20" max="20" width="21.109375" bestFit="1" customWidth="1"/>
    <col min="21" max="21" width="13.21875" bestFit="1" customWidth="1"/>
    <col min="22" max="22" width="12.77734375" bestFit="1" customWidth="1"/>
    <col min="23" max="23" width="13.33203125" bestFit="1" customWidth="1"/>
  </cols>
  <sheetData>
    <row r="3" spans="1:14" x14ac:dyDescent="0.3">
      <c r="B3" s="2"/>
    </row>
    <row r="9" spans="1:14" x14ac:dyDescent="0.3">
      <c r="A9" s="2"/>
      <c r="N9" s="4"/>
    </row>
    <row r="10" spans="1:14" x14ac:dyDescent="0.3">
      <c r="A10" s="2"/>
    </row>
    <row r="11" spans="1:14" x14ac:dyDescent="0.3">
      <c r="A11" s="2"/>
    </row>
    <row r="12" spans="1:14" x14ac:dyDescent="0.3">
      <c r="A12" s="2"/>
      <c r="B12" s="1"/>
    </row>
    <row r="13" spans="1:14" x14ac:dyDescent="0.3">
      <c r="A13" s="2"/>
      <c r="B13" s="1"/>
    </row>
    <row r="14" spans="1:14" x14ac:dyDescent="0.3">
      <c r="A14" s="2"/>
      <c r="B14" s="1"/>
    </row>
    <row r="15" spans="1:14" x14ac:dyDescent="0.3">
      <c r="A15" s="2"/>
      <c r="B15" s="1"/>
    </row>
    <row r="16" spans="1:14" x14ac:dyDescent="0.3">
      <c r="A16" s="2"/>
      <c r="B16" s="1"/>
    </row>
    <row r="17" spans="1:23" x14ac:dyDescent="0.3">
      <c r="A17" s="97"/>
      <c r="B17" s="183">
        <f>+B24</f>
        <v>2016</v>
      </c>
      <c r="C17" s="183">
        <f>+C24</f>
        <v>2017</v>
      </c>
      <c r="D17" s="183">
        <f>+D24</f>
        <v>2018</v>
      </c>
      <c r="E17" s="183">
        <f>+E24</f>
        <v>2019</v>
      </c>
      <c r="F17" s="183">
        <f>+F24</f>
        <v>2020</v>
      </c>
      <c r="G17" s="183">
        <f>+G24</f>
        <v>2021</v>
      </c>
      <c r="H17" s="183">
        <f>+H24</f>
        <v>2022</v>
      </c>
      <c r="I17" s="183">
        <f>+I24</f>
        <v>2023</v>
      </c>
      <c r="J17" s="183">
        <f>+J24</f>
        <v>2024</v>
      </c>
      <c r="K17" s="183">
        <f>+K24</f>
        <v>2025</v>
      </c>
      <c r="L17" s="183">
        <f>+L24</f>
        <v>2026</v>
      </c>
      <c r="M17" s="183">
        <f>+M24</f>
        <v>2027</v>
      </c>
      <c r="N17" s="183">
        <f>+N24</f>
        <v>2028</v>
      </c>
      <c r="O17" s="183">
        <f>+O24</f>
        <v>2029</v>
      </c>
      <c r="P17" s="183">
        <f>+P24</f>
        <v>2030</v>
      </c>
      <c r="Q17" s="183">
        <f>+Q24</f>
        <v>2031</v>
      </c>
    </row>
    <row r="18" spans="1:23" x14ac:dyDescent="0.3">
      <c r="A18" s="2" t="s">
        <v>324</v>
      </c>
      <c r="B18" s="184"/>
      <c r="C18" s="184"/>
      <c r="D18" s="184"/>
      <c r="E18" s="184"/>
      <c r="F18" s="184"/>
      <c r="G18" s="34"/>
      <c r="H18" s="34">
        <v>2.9000000000000001E-2</v>
      </c>
      <c r="I18" s="35">
        <v>2.9000000000000001E-2</v>
      </c>
      <c r="J18" s="35">
        <v>3.1E-2</v>
      </c>
      <c r="K18" s="35">
        <v>2.1000000000000001E-2</v>
      </c>
      <c r="L18" s="185">
        <v>1.7999999999999999E-2</v>
      </c>
      <c r="M18" s="185">
        <v>0.01</v>
      </c>
      <c r="N18" s="185">
        <v>0.02</v>
      </c>
      <c r="O18" s="185">
        <v>0.02</v>
      </c>
      <c r="P18" s="185">
        <v>0.02</v>
      </c>
      <c r="Q18" s="185">
        <v>0.02</v>
      </c>
    </row>
    <row r="19" spans="1:23" x14ac:dyDescent="0.3">
      <c r="A19" s="2" t="s">
        <v>25</v>
      </c>
      <c r="B19" s="186">
        <v>6.2899999999999998E-2</v>
      </c>
      <c r="C19" s="184">
        <v>2.9499999999999998E-2</v>
      </c>
      <c r="D19" s="184">
        <v>3.7499999999999999E-2</v>
      </c>
      <c r="E19" s="184">
        <v>4.3099999999999999E-2</v>
      </c>
      <c r="F19" s="184">
        <v>4.4999999999999998E-2</v>
      </c>
      <c r="G19" s="34">
        <v>0.10100000000000001</v>
      </c>
      <c r="H19" s="34">
        <v>5.8000000000000003E-2</v>
      </c>
      <c r="I19" s="35">
        <v>4.5999999999999999E-2</v>
      </c>
      <c r="J19" s="35">
        <v>4.5999999999999999E-2</v>
      </c>
      <c r="K19" s="35">
        <v>4.4999999999999998E-2</v>
      </c>
      <c r="L19" s="185">
        <v>3.7999999999999999E-2</v>
      </c>
      <c r="M19" s="185">
        <v>0.04</v>
      </c>
      <c r="N19" s="186">
        <v>0.04</v>
      </c>
      <c r="O19" s="186">
        <v>0.04</v>
      </c>
      <c r="P19" s="186">
        <v>0.04</v>
      </c>
      <c r="Q19" s="186">
        <v>0.04</v>
      </c>
    </row>
    <row r="20" spans="1:23" x14ac:dyDescent="0.3">
      <c r="A20" s="2" t="s">
        <v>26</v>
      </c>
      <c r="B20" s="184">
        <f>(B18+1)*(B19+1)-1</f>
        <v>6.2899999999999956E-2</v>
      </c>
      <c r="C20" s="184">
        <f>(C18+1)*(C19+1)-1</f>
        <v>2.9500000000000082E-2</v>
      </c>
      <c r="D20" s="184">
        <f>(D18+1)*(D19+1)-1</f>
        <v>3.7500000000000089E-2</v>
      </c>
      <c r="E20" s="184">
        <f>(E18+1)*(E19+1)-1</f>
        <v>4.3099999999999916E-2</v>
      </c>
      <c r="F20" s="184">
        <f>(F18+1)*(F19+1)-1</f>
        <v>4.4999999999999929E-2</v>
      </c>
      <c r="G20" s="184">
        <f>(G18+1)*(G19+1)-1</f>
        <v>0.10099999999999998</v>
      </c>
      <c r="H20" s="184">
        <f>(H18+1)*(H19+1)-1</f>
        <v>8.8681999999999928E-2</v>
      </c>
      <c r="I20" s="185">
        <f>(I18+1)*(I19+1)-1</f>
        <v>7.6333999999999902E-2</v>
      </c>
      <c r="J20" s="185">
        <f>(J18+1)*(J19+1)-1</f>
        <v>7.8425999999999885E-2</v>
      </c>
      <c r="K20" s="185">
        <f>(K18+1)*(K19+1)-1</f>
        <v>6.694499999999981E-2</v>
      </c>
      <c r="L20" s="184">
        <f>(L18+1)*(L19+1)-1</f>
        <v>5.6683999999999957E-2</v>
      </c>
      <c r="M20" s="184">
        <f>(M18+1)*(M19+1)-1</f>
        <v>5.04E-2</v>
      </c>
      <c r="N20" s="184">
        <f>(N18+1)*(N19+1)-1</f>
        <v>6.0799999999999965E-2</v>
      </c>
      <c r="O20" s="184">
        <f>(O18+1)*(O19+1)-1</f>
        <v>6.0799999999999965E-2</v>
      </c>
      <c r="P20" s="184">
        <f>(P18+1)*(P19+1)-1</f>
        <v>6.0799999999999965E-2</v>
      </c>
      <c r="Q20" s="184">
        <f>(Q18+1)*(Q19+1)-1</f>
        <v>6.0799999999999965E-2</v>
      </c>
    </row>
    <row r="21" spans="1:23" x14ac:dyDescent="0.3">
      <c r="A21" t="s">
        <v>24</v>
      </c>
      <c r="B21" s="187">
        <v>3.1809353389988138E-2</v>
      </c>
      <c r="C21" s="188">
        <f>+C25/B25-1</f>
        <v>1.4830488883974091E-2</v>
      </c>
      <c r="D21" s="188">
        <f>+D25/C25-1</f>
        <v>0.16663412511575504</v>
      </c>
      <c r="E21" s="188">
        <f>+E25/D25-1</f>
        <v>0.12933977594318002</v>
      </c>
      <c r="F21" s="188">
        <f>+F25/E25-1</f>
        <v>8.1369435426573933E-2</v>
      </c>
      <c r="G21" s="188">
        <f>+G25/F25-1</f>
        <v>0.33636271799914441</v>
      </c>
      <c r="H21" s="188">
        <f>+H20*H22</f>
        <v>8.8681999999999928E-2</v>
      </c>
      <c r="I21" s="188">
        <f>+I20*I22</f>
        <v>7.6333999999999902E-2</v>
      </c>
      <c r="J21" s="188">
        <f>+J20*J22</f>
        <v>7.8425999999999885E-2</v>
      </c>
      <c r="K21" s="188">
        <f>+K20*K22</f>
        <v>6.694499999999981E-2</v>
      </c>
      <c r="L21" s="188">
        <f>+L20*L22</f>
        <v>5.6683999999999957E-2</v>
      </c>
      <c r="M21" s="188">
        <f>+M20*M22</f>
        <v>5.04E-2</v>
      </c>
      <c r="N21" s="188">
        <f>+N20*N22</f>
        <v>6.0799999999999965E-2</v>
      </c>
      <c r="O21" s="188">
        <f>+O20*O22</f>
        <v>6.0799999999999965E-2</v>
      </c>
      <c r="P21" s="188">
        <f>+P20*P22</f>
        <v>6.0799999999999965E-2</v>
      </c>
      <c r="Q21" s="188">
        <f>+Q20*Q22</f>
        <v>6.0799999999999965E-2</v>
      </c>
    </row>
    <row r="22" spans="1:23" x14ac:dyDescent="0.3">
      <c r="A22" s="2" t="s">
        <v>27</v>
      </c>
      <c r="B22" s="187">
        <f>+B21/B20</f>
        <v>0.50571309046086099</v>
      </c>
      <c r="C22" s="188">
        <f>+C21/C20</f>
        <v>0.5027284367448831</v>
      </c>
      <c r="D22" s="188">
        <f>+D21/D20</f>
        <v>4.4435766697534573</v>
      </c>
      <c r="E22" s="188">
        <f>+E21/E20</f>
        <v>3.0009228757118391</v>
      </c>
      <c r="F22" s="188">
        <f>+F21/F20</f>
        <v>1.8082096761460902</v>
      </c>
      <c r="G22" s="188">
        <f>+G21/G20</f>
        <v>3.3303239405855889</v>
      </c>
      <c r="H22" s="189">
        <v>1</v>
      </c>
      <c r="I22" s="190">
        <v>1</v>
      </c>
      <c r="J22" s="191">
        <f>+I22</f>
        <v>1</v>
      </c>
      <c r="K22" s="191">
        <v>1</v>
      </c>
      <c r="L22" s="191">
        <v>1</v>
      </c>
      <c r="M22" s="191">
        <v>1</v>
      </c>
      <c r="N22" s="191">
        <v>1</v>
      </c>
      <c r="O22" s="191">
        <v>1</v>
      </c>
      <c r="P22" s="191">
        <v>1</v>
      </c>
      <c r="Q22" s="191">
        <v>1</v>
      </c>
    </row>
    <row r="23" spans="1:23" x14ac:dyDescent="0.3"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</row>
    <row r="24" spans="1:23" x14ac:dyDescent="0.3">
      <c r="A24" s="9"/>
      <c r="B24" s="183">
        <v>2016</v>
      </c>
      <c r="C24" s="183">
        <f>+B24+1</f>
        <v>2017</v>
      </c>
      <c r="D24" s="183">
        <f>+C24+1</f>
        <v>2018</v>
      </c>
      <c r="E24" s="183">
        <f>+D24+1</f>
        <v>2019</v>
      </c>
      <c r="F24" s="183">
        <f>+E24+1</f>
        <v>2020</v>
      </c>
      <c r="G24" s="183">
        <f>+F24+1</f>
        <v>2021</v>
      </c>
      <c r="H24" s="183">
        <f>+G24+1</f>
        <v>2022</v>
      </c>
      <c r="I24" s="183">
        <f>+H24+1</f>
        <v>2023</v>
      </c>
      <c r="J24" s="183">
        <f>+I24+1</f>
        <v>2024</v>
      </c>
      <c r="K24" s="183">
        <f>+J24+1</f>
        <v>2025</v>
      </c>
      <c r="L24" s="183">
        <f>+K24+1</f>
        <v>2026</v>
      </c>
      <c r="M24" s="183">
        <f>+L24+1</f>
        <v>2027</v>
      </c>
      <c r="N24" s="183">
        <f>+M24+1</f>
        <v>2028</v>
      </c>
      <c r="O24" s="183">
        <f>+N24+1</f>
        <v>2029</v>
      </c>
      <c r="P24" s="183">
        <f>+O24+1</f>
        <v>2030</v>
      </c>
      <c r="Q24" s="183">
        <f>+P24+1</f>
        <v>2031</v>
      </c>
    </row>
    <row r="25" spans="1:23" x14ac:dyDescent="0.3">
      <c r="A25" t="s">
        <v>19</v>
      </c>
      <c r="B25" s="192">
        <v>52991.51</v>
      </c>
      <c r="C25" s="187">
        <v>53777.4</v>
      </c>
      <c r="D25" s="193">
        <v>62738.55</v>
      </c>
      <c r="E25" s="193">
        <v>70853.14</v>
      </c>
      <c r="F25" s="193">
        <v>76618.42</v>
      </c>
      <c r="G25" s="193">
        <v>102390</v>
      </c>
      <c r="H25" s="193">
        <v>123446</v>
      </c>
      <c r="I25" s="30">
        <v>130631.77</v>
      </c>
      <c r="J25" s="30">
        <v>138166</v>
      </c>
      <c r="K25" s="30">
        <v>150140</v>
      </c>
      <c r="L25" s="30">
        <v>160316.64875644626</v>
      </c>
      <c r="M25" s="30">
        <v>165534.8258860209</v>
      </c>
      <c r="N25" s="193">
        <f>+M25*(1+N21)</f>
        <v>175599.34329989096</v>
      </c>
      <c r="O25" s="193">
        <f>+N25*(1+O21)</f>
        <v>186275.78337252431</v>
      </c>
      <c r="P25" s="193">
        <f>+O25*(1+P21)</f>
        <v>197601.35100157378</v>
      </c>
      <c r="Q25" s="193">
        <f>+P25*(1+Q21)</f>
        <v>209615.51314246946</v>
      </c>
    </row>
    <row r="26" spans="1:23" x14ac:dyDescent="0.3">
      <c r="A26" t="s">
        <v>346</v>
      </c>
      <c r="B26" s="193">
        <f>+B25*(B27-1)</f>
        <v>-39865.512972999997</v>
      </c>
      <c r="C26" s="193">
        <f>+C25*(C27-1)</f>
        <v>-38940.215340000002</v>
      </c>
      <c r="D26" s="193">
        <f>+D25*(D27-1)</f>
        <v>-44801.598554999997</v>
      </c>
      <c r="E26" s="193">
        <f>+E25*(E27-1)</f>
        <v>-50192.36437599999</v>
      </c>
      <c r="F26" s="193">
        <f>+F25*(F27-1)</f>
        <v>-53939.367679999996</v>
      </c>
      <c r="G26" s="193">
        <f>+G25*(G27-1)</f>
        <v>-65529.599999999999</v>
      </c>
      <c r="H26" s="193">
        <f>+H25*(H27-1)</f>
        <v>-82708.819999999992</v>
      </c>
      <c r="I26" s="193">
        <f>+I25*(I27-1)</f>
        <v>-94616.591010999997</v>
      </c>
      <c r="J26" s="193">
        <f>+J25*(J27-1)</f>
        <v>-103431.06759999999</v>
      </c>
      <c r="K26" s="193">
        <f>+K25*(K27-1)</f>
        <v>-109046.68199999999</v>
      </c>
      <c r="L26" s="193">
        <f>+L25*(L27-1)</f>
        <v>-98113.789038945106</v>
      </c>
      <c r="M26" s="193">
        <f>+M25*(M27-1)</f>
        <v>-102184.64801944069</v>
      </c>
      <c r="N26" s="193">
        <f>+N25*(N27-1)</f>
        <v>-112787.45820151996</v>
      </c>
      <c r="O26" s="193">
        <f>+O25*(O27-1)</f>
        <v>-119644.93566017236</v>
      </c>
      <c r="P26" s="193">
        <f>+P25*(P27-1)</f>
        <v>-126919.34774831084</v>
      </c>
      <c r="Q26" s="193">
        <f>+Q25*(Q27-1)</f>
        <v>-134636.04409140814</v>
      </c>
    </row>
    <row r="27" spans="1:23" x14ac:dyDescent="0.3">
      <c r="A27" t="s">
        <v>349</v>
      </c>
      <c r="B27" s="169">
        <v>0.2477</v>
      </c>
      <c r="C27" s="168">
        <v>0.27589999999999998</v>
      </c>
      <c r="D27" s="168">
        <v>0.28589999999999999</v>
      </c>
      <c r="E27" s="168">
        <v>0.29160000000000003</v>
      </c>
      <c r="F27" s="168">
        <v>0.29599999999999999</v>
      </c>
      <c r="G27" s="168">
        <v>0.36</v>
      </c>
      <c r="H27" s="168">
        <v>0.33</v>
      </c>
      <c r="I27" s="168">
        <v>0.2757</v>
      </c>
      <c r="J27" s="168">
        <v>0.25140000000000001</v>
      </c>
      <c r="K27" s="168">
        <v>0.2737</v>
      </c>
      <c r="L27" s="168">
        <v>0.38800000000000001</v>
      </c>
      <c r="M27" s="168">
        <v>0.38269999999999998</v>
      </c>
      <c r="N27" s="168">
        <v>0.35770000000000002</v>
      </c>
      <c r="O27" s="168">
        <v>0.35770000000000002</v>
      </c>
      <c r="P27" s="168">
        <v>0.35770000000000002</v>
      </c>
      <c r="Q27" s="168">
        <v>0.35770000000000002</v>
      </c>
    </row>
    <row r="28" spans="1:23" x14ac:dyDescent="0.3">
      <c r="A28" t="s">
        <v>350</v>
      </c>
      <c r="B28" s="194">
        <f>+B25+B26</f>
        <v>13125.997027000005</v>
      </c>
      <c r="C28" s="194">
        <f>+C25+C26</f>
        <v>14837.184659999999</v>
      </c>
      <c r="D28" s="194">
        <f>+D25+D26</f>
        <v>17936.951445000006</v>
      </c>
      <c r="E28" s="194">
        <f>+E25+E26</f>
        <v>20660.775624000009</v>
      </c>
      <c r="F28" s="194">
        <f>+F25+F26</f>
        <v>22679.052320000003</v>
      </c>
      <c r="G28" s="194">
        <f>+G25+G26</f>
        <v>36860.400000000001</v>
      </c>
      <c r="H28" s="194">
        <f>+H25+H26</f>
        <v>40737.180000000008</v>
      </c>
      <c r="I28" s="194">
        <f>+I25+I26</f>
        <v>36015.178989000007</v>
      </c>
      <c r="J28" s="194">
        <f>+J25+J26</f>
        <v>34734.932400000005</v>
      </c>
      <c r="K28" s="194">
        <f>+K25+K26</f>
        <v>41093.318000000014</v>
      </c>
      <c r="L28" s="194">
        <f>+L25+L26</f>
        <v>62202.859717501153</v>
      </c>
      <c r="M28" s="194">
        <f>+M25+M26</f>
        <v>63350.177866580212</v>
      </c>
      <c r="N28" s="194">
        <f>+N25+N26</f>
        <v>62811.885098371</v>
      </c>
      <c r="O28" s="194">
        <f>+O25+O26</f>
        <v>66630.847712351955</v>
      </c>
      <c r="P28" s="194">
        <f>+P25+P26</f>
        <v>70682.003253262941</v>
      </c>
      <c r="Q28" s="194">
        <f>+Q25+Q26</f>
        <v>74979.469051061315</v>
      </c>
    </row>
    <row r="29" spans="1:23" x14ac:dyDescent="0.3">
      <c r="A29" t="s">
        <v>347</v>
      </c>
      <c r="B29" s="195">
        <f>+B31-B28</f>
        <v>-6806.4370270000045</v>
      </c>
      <c r="C29" s="195">
        <f>+C31-C28</f>
        <v>-7556.5446599999987</v>
      </c>
      <c r="D29" s="195">
        <f>+D31-D28</f>
        <v>-8126.6114450000059</v>
      </c>
      <c r="E29" s="195">
        <f>+E31-E28</f>
        <v>-11860.075624000008</v>
      </c>
      <c r="F29" s="195">
        <f>+F31-F28</f>
        <v>-11988.992320000003</v>
      </c>
      <c r="G29" s="195">
        <f>+G31-G28</f>
        <v>-13266.400000000001</v>
      </c>
      <c r="H29" s="195">
        <f>+H31-H28</f>
        <v>-14963.670000000009</v>
      </c>
      <c r="I29" s="195">
        <f>+I31-I28</f>
        <v>-14690.838989000007</v>
      </c>
      <c r="J29" s="195">
        <f>+J31-J28</f>
        <v>-9443.6324000000059</v>
      </c>
      <c r="K29" s="195">
        <f>+K31-K28</f>
        <v>-20247.318000000014</v>
      </c>
      <c r="L29" s="195">
        <f>+L31-L28</f>
        <v>-29347.498989380409</v>
      </c>
      <c r="M29" s="195">
        <f>+M31-M28</f>
        <v>-28364.149808943257</v>
      </c>
      <c r="N29" s="195">
        <f>+N31-N28</f>
        <v>-26132.795019990139</v>
      </c>
      <c r="O29" s="195">
        <f>+O25*O30</f>
        <v>-27721.668957205537</v>
      </c>
      <c r="P29" s="193">
        <f>+P25*P30</f>
        <v>-29407.146429803634</v>
      </c>
      <c r="Q29" s="193">
        <f>+Q25*Q30</f>
        <v>-31195.100932735691</v>
      </c>
    </row>
    <row r="30" spans="1:23" x14ac:dyDescent="0.3">
      <c r="A30" t="s">
        <v>348</v>
      </c>
      <c r="B30" s="188">
        <f>+B29/B25</f>
        <v>-0.12844391539323949</v>
      </c>
      <c r="C30" s="188">
        <f>+C29/C25</f>
        <v>-0.14051524729719173</v>
      </c>
      <c r="D30" s="188">
        <f>+D29/D25</f>
        <v>-0.12953138771935285</v>
      </c>
      <c r="E30" s="188">
        <f>+E29/E25</f>
        <v>-0.16738955569223901</v>
      </c>
      <c r="F30" s="188">
        <f>+F29/F25</f>
        <v>-0.15647663212057888</v>
      </c>
      <c r="G30" s="188">
        <f>+G29/G25</f>
        <v>-0.12956734056060162</v>
      </c>
      <c r="H30" s="188">
        <f>+H29/H25</f>
        <v>-0.12121632130648226</v>
      </c>
      <c r="I30" s="188">
        <f>+I29/I25</f>
        <v>-0.11245992448085183</v>
      </c>
      <c r="J30" s="188">
        <f>+J29/J25</f>
        <v>-6.8349900843912431E-2</v>
      </c>
      <c r="K30" s="188">
        <f>+K29/K25</f>
        <v>-0.13485625416278149</v>
      </c>
      <c r="L30" s="188">
        <f>+L29/L25</f>
        <v>-0.1830595837489421</v>
      </c>
      <c r="M30" s="188">
        <f>+M29/M25</f>
        <v>-0.17134853440733619</v>
      </c>
      <c r="N30" s="188">
        <f>+N29/N25</f>
        <v>-0.14882057374986987</v>
      </c>
      <c r="O30" s="196">
        <f>+N30</f>
        <v>-0.14882057374986987</v>
      </c>
      <c r="P30" s="197">
        <f>+O30</f>
        <v>-0.14882057374986987</v>
      </c>
      <c r="Q30" s="197">
        <f>+P30</f>
        <v>-0.14882057374986987</v>
      </c>
    </row>
    <row r="31" spans="1:23" x14ac:dyDescent="0.3">
      <c r="A31" t="s">
        <v>0</v>
      </c>
      <c r="B31" s="187">
        <v>6319.56</v>
      </c>
      <c r="C31" s="187">
        <v>7280.64</v>
      </c>
      <c r="D31" s="193">
        <v>9810.34</v>
      </c>
      <c r="E31" s="193">
        <v>8800.7000000000007</v>
      </c>
      <c r="F31" s="193">
        <v>10690.06</v>
      </c>
      <c r="G31" s="193">
        <v>23594</v>
      </c>
      <c r="H31" s="193">
        <v>25773.51</v>
      </c>
      <c r="I31" s="30">
        <v>21324.34</v>
      </c>
      <c r="J31" s="30">
        <v>25291.3</v>
      </c>
      <c r="K31" s="30">
        <v>20846</v>
      </c>
      <c r="L31" s="30">
        <v>32855.360728120744</v>
      </c>
      <c r="M31" s="30">
        <v>34986.028057636955</v>
      </c>
      <c r="N31" s="30">
        <v>36679.090078380861</v>
      </c>
      <c r="O31" s="193">
        <f>+O28+O29</f>
        <v>38909.178755146422</v>
      </c>
      <c r="P31" s="193">
        <f>+P28+P29</f>
        <v>41274.856823459311</v>
      </c>
      <c r="Q31" s="193">
        <f>+Q28+Q29</f>
        <v>43784.368118325627</v>
      </c>
      <c r="S31" s="39"/>
      <c r="T31" s="170" t="s">
        <v>355</v>
      </c>
      <c r="U31" s="170" t="s">
        <v>63</v>
      </c>
      <c r="V31" s="170" t="s">
        <v>62</v>
      </c>
      <c r="W31" s="170" t="s">
        <v>345</v>
      </c>
    </row>
    <row r="32" spans="1:23" x14ac:dyDescent="0.3">
      <c r="A32" t="s">
        <v>20</v>
      </c>
      <c r="B32" s="188">
        <f>+B31/B25</f>
        <v>0.1192560846067606</v>
      </c>
      <c r="C32" s="188">
        <f>+C31/C25</f>
        <v>0.13538475270280825</v>
      </c>
      <c r="D32" s="188">
        <f>+D31/D25</f>
        <v>0.15636861228064722</v>
      </c>
      <c r="E32" s="188">
        <f>+E31/E25</f>
        <v>0.12421044430776111</v>
      </c>
      <c r="F32" s="188">
        <f>+F31/F25</f>
        <v>0.13952336787942116</v>
      </c>
      <c r="G32" s="188">
        <f>+G31/G25</f>
        <v>0.23043265943939839</v>
      </c>
      <c r="H32" s="188">
        <f>+H31/H25</f>
        <v>0.2087836786935178</v>
      </c>
      <c r="I32" s="188">
        <f>+I31/I25</f>
        <v>0.16324007551914821</v>
      </c>
      <c r="J32" s="188">
        <f>+J31/J25</f>
        <v>0.18305009915608761</v>
      </c>
      <c r="K32" s="188">
        <f>+K31/K25</f>
        <v>0.13884374583721859</v>
      </c>
      <c r="L32" s="188">
        <f>+L31/L25</f>
        <v>0.20494041625105794</v>
      </c>
      <c r="M32" s="188">
        <f>+M31/M25</f>
        <v>0.21135146559266391</v>
      </c>
      <c r="N32" s="188">
        <f>+N31/N25</f>
        <v>0.20887942625013017</v>
      </c>
      <c r="O32" s="188">
        <f>+N32</f>
        <v>0.20887942625013017</v>
      </c>
      <c r="P32" s="188">
        <f>+O32</f>
        <v>0.20887942625013017</v>
      </c>
      <c r="Q32" s="188">
        <f>+P32</f>
        <v>0.20887942625013017</v>
      </c>
      <c r="T32" t="s">
        <v>344</v>
      </c>
      <c r="U32" s="41">
        <f>+M25</f>
        <v>165534.8258860209</v>
      </c>
      <c r="V32" s="41">
        <f>+U32*(1+W32)</f>
        <v>162224.12936830049</v>
      </c>
      <c r="W32" s="112">
        <v>-0.02</v>
      </c>
    </row>
    <row r="33" spans="1:23" x14ac:dyDescent="0.3">
      <c r="A33" t="s">
        <v>21</v>
      </c>
      <c r="B33" s="187">
        <v>11803.92</v>
      </c>
      <c r="C33" s="187">
        <v>13642.8</v>
      </c>
      <c r="D33" s="193">
        <v>17850.25</v>
      </c>
      <c r="E33" s="193">
        <v>18979.349999999999</v>
      </c>
      <c r="F33" s="193">
        <v>19022.66</v>
      </c>
      <c r="G33" s="193">
        <v>31545</v>
      </c>
      <c r="H33" s="193">
        <v>36387.17</v>
      </c>
      <c r="I33" s="30">
        <v>32032.37</v>
      </c>
      <c r="J33" s="30">
        <v>37339</v>
      </c>
      <c r="K33" s="30">
        <v>33801</v>
      </c>
      <c r="L33" s="30">
        <v>49178.087937854361</v>
      </c>
      <c r="M33" s="30">
        <v>51039.47607488525</v>
      </c>
      <c r="N33" s="30">
        <v>52365.444541583718</v>
      </c>
      <c r="O33" s="193">
        <f>+O25*O34</f>
        <v>55882.735011757293</v>
      </c>
      <c r="P33" s="193">
        <f>+P25*P34</f>
        <v>59280.405300472135</v>
      </c>
      <c r="Q33" s="193">
        <f>+Q25*Q34</f>
        <v>62884.653942740835</v>
      </c>
      <c r="T33" t="s">
        <v>21</v>
      </c>
      <c r="U33" s="41">
        <f>+N33</f>
        <v>52365.444541583718</v>
      </c>
      <c r="V33" s="41">
        <f>+V32*V34</f>
        <v>44623.450496292091</v>
      </c>
      <c r="W33" s="29">
        <f>+V33/U33-1</f>
        <v>-0.14784547544791038</v>
      </c>
    </row>
    <row r="34" spans="1:23" x14ac:dyDescent="0.3">
      <c r="A34" t="s">
        <v>22</v>
      </c>
      <c r="B34" s="188">
        <f>+B33/B$25</f>
        <v>0.2227511539112586</v>
      </c>
      <c r="C34" s="188">
        <f>+C33/C$25</f>
        <v>0.25369021187338919</v>
      </c>
      <c r="D34" s="188">
        <f>+D33/D$25</f>
        <v>0.28451805150103088</v>
      </c>
      <c r="E34" s="188">
        <f>+E33/E$25</f>
        <v>0.2678688622691951</v>
      </c>
      <c r="F34" s="188">
        <f>+F33/F$25</f>
        <v>0.24827789453241139</v>
      </c>
      <c r="G34" s="188">
        <f>+G33/G$25</f>
        <v>0.30808672721945501</v>
      </c>
      <c r="H34" s="188">
        <f>+H33/H$25</f>
        <v>0.29476183918474474</v>
      </c>
      <c r="I34" s="188">
        <f>+I33/I$25</f>
        <v>0.24521117642362189</v>
      </c>
      <c r="J34" s="188">
        <f>+J33/J$25</f>
        <v>0.27024738358206796</v>
      </c>
      <c r="K34" s="188">
        <f>+K33/K$25</f>
        <v>0.2251298787798055</v>
      </c>
      <c r="L34" s="188">
        <f>+L33/L$25</f>
        <v>0.30675596277318601</v>
      </c>
      <c r="M34" s="188">
        <f>+M33/M$25</f>
        <v>0.30833074431134211</v>
      </c>
      <c r="N34" s="188">
        <f>+N33/N$25</f>
        <v>0.29820979712978368</v>
      </c>
      <c r="O34" s="196">
        <v>0.3</v>
      </c>
      <c r="P34" s="197">
        <v>0.3</v>
      </c>
      <c r="Q34" s="197">
        <v>0.3</v>
      </c>
      <c r="T34" t="s">
        <v>22</v>
      </c>
      <c r="U34" s="171">
        <f>+U33/U32</f>
        <v>0.31634095279527447</v>
      </c>
      <c r="V34" s="171">
        <f>+AVERAGE(H34:M34)</f>
        <v>0.27507283084246137</v>
      </c>
      <c r="W34" s="27" t="s">
        <v>352</v>
      </c>
    </row>
    <row r="35" spans="1:23" x14ac:dyDescent="0.3">
      <c r="A35" t="s">
        <v>1</v>
      </c>
      <c r="B35" s="193">
        <f>+B33-B31</f>
        <v>5484.36</v>
      </c>
      <c r="C35" s="193">
        <f>+C33-C31</f>
        <v>6362.1599999999989</v>
      </c>
      <c r="D35" s="193">
        <f>+D33-D31</f>
        <v>8039.91</v>
      </c>
      <c r="E35" s="193">
        <f>+E33-E31</f>
        <v>10178.649999999998</v>
      </c>
      <c r="F35" s="193">
        <f>+F33-F31</f>
        <v>8332.6</v>
      </c>
      <c r="G35" s="193">
        <f>+G33-G31</f>
        <v>7951</v>
      </c>
      <c r="H35" s="193">
        <f>+H33-H31</f>
        <v>10613.66</v>
      </c>
      <c r="I35" s="193">
        <f>+I33-I31</f>
        <v>10708.029999999999</v>
      </c>
      <c r="J35" s="193">
        <f>+J33-J31</f>
        <v>12047.7</v>
      </c>
      <c r="K35" s="193">
        <f>+K33-K31</f>
        <v>12955</v>
      </c>
      <c r="L35" s="193">
        <f>+L33-L31</f>
        <v>16322.727209733617</v>
      </c>
      <c r="M35" s="193">
        <f>+M33-M31</f>
        <v>16053.448017248294</v>
      </c>
      <c r="N35" s="193">
        <f>+N33-N31</f>
        <v>15686.354463202857</v>
      </c>
      <c r="O35" s="193">
        <f>+O33-O31</f>
        <v>16973.556256610871</v>
      </c>
      <c r="P35" s="193">
        <f>+P33-P31</f>
        <v>18005.548477012824</v>
      </c>
      <c r="Q35" s="193">
        <f>+Q33-Q31</f>
        <v>19100.285824415208</v>
      </c>
      <c r="T35" t="s">
        <v>1</v>
      </c>
      <c r="U35" s="41">
        <f>+N35</f>
        <v>15686.354463202857</v>
      </c>
      <c r="V35" s="41">
        <f>+U35</f>
        <v>15686.354463202857</v>
      </c>
      <c r="W35" s="27"/>
    </row>
    <row r="36" spans="1:23" x14ac:dyDescent="0.3">
      <c r="A36" t="s">
        <v>23</v>
      </c>
      <c r="B36" s="188">
        <f>+B35/B25</f>
        <v>0.10349506930449802</v>
      </c>
      <c r="C36" s="188">
        <f>+C35/C25</f>
        <v>0.11830545917058093</v>
      </c>
      <c r="D36" s="188">
        <f>+D35/D25</f>
        <v>0.12814943922038363</v>
      </c>
      <c r="E36" s="188">
        <f>+E35/E25</f>
        <v>0.143658417961434</v>
      </c>
      <c r="F36" s="188">
        <f>+F35/F25</f>
        <v>0.10875452665299024</v>
      </c>
      <c r="G36" s="188">
        <f>+G35/G25</f>
        <v>7.7654067780056651E-2</v>
      </c>
      <c r="H36" s="188">
        <f>+H35/H25</f>
        <v>8.5978160491226932E-2</v>
      </c>
      <c r="I36" s="188">
        <f>+I35/I25</f>
        <v>8.1971100904473682E-2</v>
      </c>
      <c r="J36" s="188">
        <f>+J35/J25</f>
        <v>8.7197284425980348E-2</v>
      </c>
      <c r="K36" s="188">
        <f>+K35/K25</f>
        <v>8.6286132942586913E-2</v>
      </c>
      <c r="L36" s="188">
        <f>+L35/L25</f>
        <v>0.10181554652212806</v>
      </c>
      <c r="M36" s="188">
        <f>+M35/M25</f>
        <v>9.6979278718678244E-2</v>
      </c>
      <c r="N36" s="188">
        <f>+N35/N25</f>
        <v>8.9330370879653495E-2</v>
      </c>
      <c r="O36" s="188">
        <f>+O35/O25</f>
        <v>9.1120573749869788E-2</v>
      </c>
      <c r="P36" s="188">
        <f>+P35/P25</f>
        <v>9.1120573749869857E-2</v>
      </c>
      <c r="Q36" s="188">
        <f>+Q35/Q25</f>
        <v>9.1120573749869885E-2</v>
      </c>
      <c r="T36" t="s">
        <v>0</v>
      </c>
      <c r="U36" s="41">
        <f>+U33-U35</f>
        <v>36679.090078380861</v>
      </c>
      <c r="V36" s="41">
        <f>+V33-V35</f>
        <v>28937.096033089234</v>
      </c>
      <c r="W36" s="29">
        <f>+V36/U36-1</f>
        <v>-0.21107377606007904</v>
      </c>
    </row>
    <row r="37" spans="1:23" x14ac:dyDescent="0.3">
      <c r="A37" t="s">
        <v>29</v>
      </c>
      <c r="B37" s="186">
        <v>-0.25</v>
      </c>
      <c r="C37" s="186">
        <f>+B37</f>
        <v>-0.25</v>
      </c>
      <c r="D37" s="186">
        <f>+C37</f>
        <v>-0.25</v>
      </c>
      <c r="E37" s="186">
        <f>+D37</f>
        <v>-0.25</v>
      </c>
      <c r="F37" s="186">
        <f>+E37</f>
        <v>-0.25</v>
      </c>
      <c r="G37" s="186">
        <f>+F37</f>
        <v>-0.25</v>
      </c>
      <c r="H37" s="186">
        <f>+G37</f>
        <v>-0.25</v>
      </c>
      <c r="I37" s="186">
        <f>+H37</f>
        <v>-0.25</v>
      </c>
      <c r="J37" s="186">
        <v>-0.24</v>
      </c>
      <c r="K37" s="186">
        <f>+J37</f>
        <v>-0.24</v>
      </c>
      <c r="L37" s="186">
        <f>+K37</f>
        <v>-0.24</v>
      </c>
      <c r="M37" s="186">
        <f>+L37</f>
        <v>-0.24</v>
      </c>
      <c r="N37" s="186">
        <f>+M37</f>
        <v>-0.24</v>
      </c>
      <c r="O37" s="186">
        <f>+N37</f>
        <v>-0.24</v>
      </c>
      <c r="P37" s="186">
        <f>+O37</f>
        <v>-0.24</v>
      </c>
      <c r="Q37" s="186">
        <f>+P37</f>
        <v>-0.24</v>
      </c>
      <c r="T37" t="s">
        <v>29</v>
      </c>
      <c r="U37" s="173">
        <f>+U36*N37</f>
        <v>-8802.9816188114055</v>
      </c>
      <c r="V37" s="173">
        <f>+V36*N37</f>
        <v>-6944.9030479414159</v>
      </c>
      <c r="W37" s="27"/>
    </row>
    <row r="38" spans="1:23" x14ac:dyDescent="0.3">
      <c r="A38" t="s">
        <v>30</v>
      </c>
      <c r="B38" s="192">
        <f>+B31*(1+B37)</f>
        <v>4739.67</v>
      </c>
      <c r="C38" s="192">
        <f>+C31*(1+C37)</f>
        <v>5460.4800000000005</v>
      </c>
      <c r="D38" s="192">
        <f>+D31*(1+D37)</f>
        <v>7357.7550000000001</v>
      </c>
      <c r="E38" s="192">
        <f>+E31*(1+E37)</f>
        <v>6600.5250000000005</v>
      </c>
      <c r="F38" s="192">
        <f>+F31*(1+F37)</f>
        <v>8017.5450000000001</v>
      </c>
      <c r="G38" s="192">
        <f>+G31*(1+G37)</f>
        <v>17695.5</v>
      </c>
      <c r="H38" s="192">
        <f>+H31*(1+H37)</f>
        <v>19330.1325</v>
      </c>
      <c r="I38" s="192">
        <f>+I31*(1+I37)</f>
        <v>15993.255000000001</v>
      </c>
      <c r="J38" s="192">
        <f>+J31*(1+J37)</f>
        <v>19221.387999999999</v>
      </c>
      <c r="K38" s="192">
        <f>+K31*(1+K37)</f>
        <v>15842.960000000001</v>
      </c>
      <c r="L38" s="192">
        <f>+L31*(1+L37)</f>
        <v>24970.074153371766</v>
      </c>
      <c r="M38" s="192">
        <f>+M31*(1+M37)</f>
        <v>26589.381323804086</v>
      </c>
      <c r="N38" s="192">
        <f>+N31*(1+N37)</f>
        <v>27876.108459569456</v>
      </c>
      <c r="O38" s="192">
        <f>+O31*(1+O37)</f>
        <v>29570.975853911281</v>
      </c>
      <c r="P38" s="192">
        <f>+P31*(1+P37)</f>
        <v>31368.891185829078</v>
      </c>
      <c r="Q38" s="192">
        <f>+Q31*(1+Q37)</f>
        <v>33276.119769927478</v>
      </c>
      <c r="T38" t="s">
        <v>353</v>
      </c>
      <c r="U38" s="173">
        <f>+U32*U39</f>
        <v>-4429.6495670129634</v>
      </c>
      <c r="V38" s="173">
        <f>+V32*V39</f>
        <v>-4866.7238810490144</v>
      </c>
      <c r="W38" s="27"/>
    </row>
    <row r="39" spans="1:23" x14ac:dyDescent="0.3">
      <c r="A39" t="s">
        <v>342</v>
      </c>
      <c r="B39" s="192">
        <f>+B41-B38</f>
        <v>-1693.5</v>
      </c>
      <c r="C39" s="192">
        <f>+C41-C38</f>
        <v>-1553.3100000000004</v>
      </c>
      <c r="D39" s="192">
        <f>+D41-D38</f>
        <v>-1433.3450000000003</v>
      </c>
      <c r="E39" s="192">
        <f>+E41-E38</f>
        <v>-1239.1050000000005</v>
      </c>
      <c r="F39" s="192">
        <f>+F41-F38</f>
        <v>-4140.5450000000001</v>
      </c>
      <c r="G39" s="192">
        <f>+G41-G38</f>
        <v>-2007.5</v>
      </c>
      <c r="H39" s="192">
        <f>+H41-H38</f>
        <v>-561.05249999999796</v>
      </c>
      <c r="I39" s="192">
        <f>+I41-I38</f>
        <v>-2263.6850000000013</v>
      </c>
      <c r="J39" s="192">
        <f>+J41-J38</f>
        <v>-4277.387999999999</v>
      </c>
      <c r="K39" s="192">
        <f>+K41-K38</f>
        <v>-1953.9600000000009</v>
      </c>
      <c r="L39" s="192">
        <f>+L41-L38</f>
        <v>-4024.5382067314858</v>
      </c>
      <c r="M39" s="192">
        <f>+M41-M38</f>
        <v>-4820.2572195813264</v>
      </c>
      <c r="N39" s="192">
        <f>+N41-N38</f>
        <v>-4698.9722606873511</v>
      </c>
      <c r="O39" s="192">
        <f>+O25*O40</f>
        <v>-4984.6697741371418</v>
      </c>
      <c r="P39" s="192">
        <f>+P25*P40</f>
        <v>-5287.7376964046798</v>
      </c>
      <c r="Q39" s="192">
        <f>+Q25*Q40</f>
        <v>-5609.2321483460846</v>
      </c>
      <c r="T39" t="s">
        <v>343</v>
      </c>
      <c r="U39" s="172">
        <f>+N40</f>
        <v>-2.6759623198945467E-2</v>
      </c>
      <c r="V39" s="172">
        <v>-0.03</v>
      </c>
      <c r="W39" s="27"/>
    </row>
    <row r="40" spans="1:23" x14ac:dyDescent="0.3">
      <c r="A40" t="s">
        <v>343</v>
      </c>
      <c r="B40" s="188">
        <f>+B39/B25</f>
        <v>-3.1957949490399498E-2</v>
      </c>
      <c r="C40" s="188">
        <f>+C39/C25</f>
        <v>-2.8884066540963312E-2</v>
      </c>
      <c r="D40" s="188">
        <f>+D39/D25</f>
        <v>-2.2846320165193494E-2</v>
      </c>
      <c r="E40" s="188">
        <f>+E39/E25</f>
        <v>-1.748835690274278E-2</v>
      </c>
      <c r="F40" s="188">
        <f>+F39/F25</f>
        <v>-5.4041117005545147E-2</v>
      </c>
      <c r="G40" s="188">
        <f>+G39/G25</f>
        <v>-1.9606406875671452E-2</v>
      </c>
      <c r="H40" s="188">
        <f>+H39/H25</f>
        <v>-4.5449224762244052E-3</v>
      </c>
      <c r="I40" s="188">
        <f>+I39/I25</f>
        <v>-1.7328747822983652E-2</v>
      </c>
      <c r="J40" s="188">
        <f>+J39/J25</f>
        <v>-3.0958325492523479E-2</v>
      </c>
      <c r="K40" s="188">
        <f>+K39/K25</f>
        <v>-1.301425336352738E-2</v>
      </c>
      <c r="L40" s="188">
        <f>+L39/L25</f>
        <v>-2.5103682231067476E-2</v>
      </c>
      <c r="M40" s="188">
        <f>+M39/M25</f>
        <v>-2.9119293742455844E-2</v>
      </c>
      <c r="N40" s="188">
        <f>+N39/N25</f>
        <v>-2.6759623198945467E-2</v>
      </c>
      <c r="O40" s="188">
        <f>+N40</f>
        <v>-2.6759623198945467E-2</v>
      </c>
      <c r="P40" s="188">
        <f>+O40</f>
        <v>-2.6759623198945467E-2</v>
      </c>
      <c r="Q40" s="188">
        <f>+P40</f>
        <v>-2.6759623198945467E-2</v>
      </c>
      <c r="T40" s="175" t="s">
        <v>354</v>
      </c>
      <c r="U40" s="176">
        <f>+U36+U37+U38</f>
        <v>23446.458892556493</v>
      </c>
      <c r="V40" s="176">
        <f>+V36+V37+V38</f>
        <v>17125.469104098804</v>
      </c>
      <c r="W40" s="177">
        <f>+V40/U40-1</f>
        <v>-0.26959251362534764</v>
      </c>
    </row>
    <row r="41" spans="1:23" x14ac:dyDescent="0.3">
      <c r="A41" t="s">
        <v>55</v>
      </c>
      <c r="B41" s="192">
        <v>3046.17</v>
      </c>
      <c r="C41" s="192">
        <v>3907.17</v>
      </c>
      <c r="D41" s="192">
        <v>5924.41</v>
      </c>
      <c r="E41" s="192">
        <v>5361.42</v>
      </c>
      <c r="F41" s="192">
        <v>3877</v>
      </c>
      <c r="G41" s="192">
        <v>15688</v>
      </c>
      <c r="H41" s="192">
        <v>18769.080000000002</v>
      </c>
      <c r="I41" s="31">
        <v>13729.57</v>
      </c>
      <c r="J41" s="31">
        <v>14944</v>
      </c>
      <c r="K41" s="31">
        <v>13889</v>
      </c>
      <c r="L41" s="31">
        <v>20945.535946640281</v>
      </c>
      <c r="M41" s="31">
        <v>21769.124104222759</v>
      </c>
      <c r="N41" s="31">
        <v>23177.136198882105</v>
      </c>
      <c r="O41" s="192">
        <f>+O38+O39</f>
        <v>24586.306079774138</v>
      </c>
      <c r="P41" s="192">
        <f>+P38+P39</f>
        <v>26081.153489424396</v>
      </c>
      <c r="Q41" s="192">
        <f>+Q38+Q39</f>
        <v>27666.887621581394</v>
      </c>
      <c r="T41" s="170" t="s">
        <v>356</v>
      </c>
      <c r="U41" s="174">
        <f>+$B$61/U40</f>
        <v>7.4940975439059736</v>
      </c>
      <c r="V41" s="174">
        <f>+$B$61/V40</f>
        <v>10.260159819969289</v>
      </c>
      <c r="W41" s="170"/>
    </row>
    <row r="42" spans="1:23" x14ac:dyDescent="0.3">
      <c r="A42" t="s">
        <v>56</v>
      </c>
      <c r="B42" s="188">
        <f>+B41/B25</f>
        <v>5.7484113964670944E-2</v>
      </c>
      <c r="C42" s="188">
        <f>+C41/C25</f>
        <v>7.2654497986142874E-2</v>
      </c>
      <c r="D42" s="188">
        <f>+D41/D25</f>
        <v>9.4430139045291919E-2</v>
      </c>
      <c r="E42" s="188">
        <f>+E41/E25</f>
        <v>7.566947632807805E-2</v>
      </c>
      <c r="F42" s="188">
        <f>+F41/F25</f>
        <v>5.0601408904020734E-2</v>
      </c>
      <c r="G42" s="188">
        <f>+G41/G25</f>
        <v>0.15321808770387732</v>
      </c>
      <c r="H42" s="188">
        <f>+H41/H25</f>
        <v>0.15204283654391396</v>
      </c>
      <c r="I42" s="188">
        <f>+I41/I25</f>
        <v>0.10510130881637751</v>
      </c>
      <c r="J42" s="188">
        <f>+J41/J25</f>
        <v>0.10815974986610309</v>
      </c>
      <c r="K42" s="188">
        <f>+K41/K25</f>
        <v>9.2506993472758758E-2</v>
      </c>
      <c r="L42" s="188">
        <f>+L41/L25</f>
        <v>0.13065103411973655</v>
      </c>
      <c r="M42" s="188">
        <f>+M41/M25</f>
        <v>0.13150782010796871</v>
      </c>
      <c r="N42" s="188">
        <f>+N41/N25</f>
        <v>0.13198874075115347</v>
      </c>
      <c r="O42" s="188">
        <f>+N42</f>
        <v>0.13198874075115347</v>
      </c>
      <c r="P42" s="188">
        <f>+O42</f>
        <v>0.13198874075115347</v>
      </c>
      <c r="Q42" s="188">
        <f>+P42</f>
        <v>0.13198874075115347</v>
      </c>
    </row>
    <row r="43" spans="1:23" x14ac:dyDescent="0.3">
      <c r="A43" t="s">
        <v>2</v>
      </c>
      <c r="B43" s="192">
        <f>-B25*0.04</f>
        <v>-2119.6604000000002</v>
      </c>
      <c r="C43" s="192">
        <f>-C25*0.04</f>
        <v>-2151.096</v>
      </c>
      <c r="D43" s="192">
        <f>-D25*0.04</f>
        <v>-2509.5420000000004</v>
      </c>
      <c r="E43" s="192">
        <f>-E25*0.04</f>
        <v>-2834.1255999999998</v>
      </c>
      <c r="F43" s="192">
        <f>-F25*0.04</f>
        <v>-3064.7368000000001</v>
      </c>
      <c r="G43" s="192">
        <f>-G25*0.04</f>
        <v>-4095.6</v>
      </c>
      <c r="H43" s="192">
        <f>-H25*0.04</f>
        <v>-4937.84</v>
      </c>
      <c r="I43" s="192">
        <f>-I25*0.04</f>
        <v>-5225.2708000000002</v>
      </c>
      <c r="J43" s="192">
        <f>-J25*0.04</f>
        <v>-5526.64</v>
      </c>
      <c r="K43" s="192">
        <f>-K25*0.04</f>
        <v>-6005.6</v>
      </c>
      <c r="L43" s="192">
        <f>-L25*0.04</f>
        <v>-6412.6659502578505</v>
      </c>
      <c r="M43" s="192">
        <f>-M25*0.04</f>
        <v>-6621.3930354408367</v>
      </c>
      <c r="N43" s="192">
        <f>-N25*0.04</f>
        <v>-7023.9737319956384</v>
      </c>
      <c r="O43" s="192">
        <f>-O25*0.04</f>
        <v>-7451.031334900973</v>
      </c>
      <c r="P43" s="192">
        <f>-P25*0.04</f>
        <v>-7904.0540400629516</v>
      </c>
      <c r="Q43" s="192">
        <f>-Q25*0.04</f>
        <v>-8384.6205256987778</v>
      </c>
      <c r="W43" s="1"/>
    </row>
    <row r="44" spans="1:23" ht="15" thickBot="1" x14ac:dyDescent="0.35">
      <c r="A44" s="15" t="s">
        <v>4</v>
      </c>
      <c r="B44" s="198">
        <f>+B35+B38+B46+B43</f>
        <v>4298.909599999999</v>
      </c>
      <c r="C44" s="198">
        <f>+C35+C38+C46+C43</f>
        <v>6393.1740000000009</v>
      </c>
      <c r="D44" s="198">
        <f>+D35+D38+D46+D43</f>
        <v>9188.643</v>
      </c>
      <c r="E44" s="198">
        <f>+E35+E38+E46+E43</f>
        <v>10165.609399999999</v>
      </c>
      <c r="F44" s="198">
        <f>+F35+F38+F46+F43</f>
        <v>9613.4081999999999</v>
      </c>
      <c r="G44" s="198">
        <f>+G35+G38+G46+G43</f>
        <v>16932.72</v>
      </c>
      <c r="H44" s="198">
        <f>+H35+H38+H46+H43</f>
        <v>18364.202499999999</v>
      </c>
      <c r="I44" s="198">
        <f>+I35+I38+I46+I43</f>
        <v>12722.204199999998</v>
      </c>
      <c r="J44" s="198">
        <f>+J35+J38+J46+J43</f>
        <v>14804.448</v>
      </c>
      <c r="K44" s="198">
        <f>+K35+K38+K46+K43</f>
        <v>3970.3599999999988</v>
      </c>
      <c r="L44" s="198">
        <f>+L35+L38+L46+L43</f>
        <v>14040.136146517172</v>
      </c>
      <c r="M44" s="198">
        <f>+M35+M38+M46+M43</f>
        <v>15216.112981878818</v>
      </c>
      <c r="N44" s="198">
        <f>+N35+N38+N46+N43</f>
        <v>17222.561427788671</v>
      </c>
      <c r="O44" s="198">
        <f>+O35+O38+O46+O43</f>
        <v>18603.164604643505</v>
      </c>
      <c r="P44" s="198">
        <f>+P35+P38+P46+P43</f>
        <v>23686.264032637315</v>
      </c>
      <c r="Q44" s="198">
        <f>+Q35+Q38+Q46+Q43</f>
        <v>25126.388885821663</v>
      </c>
      <c r="R44" s="16">
        <f>+(Q44*(1+B54)/(D55-B54))</f>
        <v>296572.08761900902</v>
      </c>
    </row>
    <row r="45" spans="1:23" ht="15" thickTop="1" x14ac:dyDescent="0.3">
      <c r="A45" s="204" t="s">
        <v>407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7"/>
      <c r="N45" s="203">
        <f>(1+$C$132)*(N33+N37*N31)+N46+N43</f>
        <v>12866.315135511437</v>
      </c>
      <c r="O45" s="203">
        <f>(1+$C$132)*(O33+O37*O31)+O46+O43</f>
        <v>13948.711393591293</v>
      </c>
      <c r="P45" s="203">
        <f>(1+$C$132)*(P33+P37*P31)+P46+P43</f>
        <v>18748.820066353124</v>
      </c>
      <c r="Q45" s="203">
        <f>(1+$C$132)*(Q33+Q37*Q31)+Q46+Q43</f>
        <v>19888.748326387395</v>
      </c>
      <c r="R45" s="18">
        <f>+(Q45*(1+$B$54)/($B$128+$B$57-$B$54))</f>
        <v>212484.89283395506</v>
      </c>
    </row>
    <row r="46" spans="1:23" x14ac:dyDescent="0.3">
      <c r="A46" t="s">
        <v>3</v>
      </c>
      <c r="B46" s="187">
        <v>-3805.46</v>
      </c>
      <c r="C46" s="187">
        <v>-3278.37</v>
      </c>
      <c r="D46" s="187">
        <v>-3699.48</v>
      </c>
      <c r="E46" s="187">
        <v>-3779.44</v>
      </c>
      <c r="F46" s="187">
        <v>-3672</v>
      </c>
      <c r="G46" s="54">
        <v>-4618.18</v>
      </c>
      <c r="H46" s="54">
        <v>-6641.75</v>
      </c>
      <c r="I46" s="53">
        <v>-8753.81</v>
      </c>
      <c r="J46" s="199">
        <v>-10938</v>
      </c>
      <c r="K46" s="199">
        <v>-18822</v>
      </c>
      <c r="L46" s="53">
        <v>-20839.99926633036</v>
      </c>
      <c r="M46" s="31">
        <v>-20805.323323732722</v>
      </c>
      <c r="N46" s="192">
        <f>+N25*N47</f>
        <v>-19315.927762988005</v>
      </c>
      <c r="O46" s="199">
        <f>+O25*O47</f>
        <v>-20490.336170977673</v>
      </c>
      <c r="P46" s="199">
        <f>+P25*P47</f>
        <v>-17784.12159014164</v>
      </c>
      <c r="Q46" s="199">
        <f>+Q25*Q47</f>
        <v>-18865.396182822249</v>
      </c>
    </row>
    <row r="47" spans="1:23" x14ac:dyDescent="0.3">
      <c r="A47" t="s">
        <v>28</v>
      </c>
      <c r="B47" s="188">
        <f>+B46/B25</f>
        <v>-7.1812635646729073E-2</v>
      </c>
      <c r="C47" s="188">
        <f>+C46/C25</f>
        <v>-6.0961853864262679E-2</v>
      </c>
      <c r="D47" s="188">
        <f>+D46/D25</f>
        <v>-5.89666162192145E-2</v>
      </c>
      <c r="E47" s="188">
        <f>+E46/E25</f>
        <v>-5.3341884354031456E-2</v>
      </c>
      <c r="F47" s="188">
        <f>+F46/F25</f>
        <v>-4.7925812095838051E-2</v>
      </c>
      <c r="G47" s="188">
        <f>+G46/G25</f>
        <v>-4.510381873229808E-2</v>
      </c>
      <c r="H47" s="188">
        <f>+H46/H25</f>
        <v>-5.3802877371482268E-2</v>
      </c>
      <c r="I47" s="188">
        <f>+I46/I25</f>
        <v>-6.7011340350054197E-2</v>
      </c>
      <c r="J47" s="188">
        <f>+J46/J25</f>
        <v>-7.916564132999436E-2</v>
      </c>
      <c r="K47" s="188">
        <f>+K46/K25</f>
        <v>-0.12536299453843081</v>
      </c>
      <c r="L47" s="188">
        <f>+L46/L25</f>
        <v>-0.12999273268237146</v>
      </c>
      <c r="M47" s="188">
        <f>+M46/M25</f>
        <v>-0.12568547562346935</v>
      </c>
      <c r="N47" s="200">
        <v>-0.11</v>
      </c>
      <c r="O47" s="201">
        <f>+N47</f>
        <v>-0.11</v>
      </c>
      <c r="P47" s="201">
        <v>-0.09</v>
      </c>
      <c r="Q47" s="201">
        <v>-0.09</v>
      </c>
    </row>
    <row r="48" spans="1:23" x14ac:dyDescent="0.3"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</row>
    <row r="49" spans="1:17" x14ac:dyDescent="0.3">
      <c r="A49" t="s">
        <v>4</v>
      </c>
      <c r="B49" s="187">
        <v>3414.98</v>
      </c>
      <c r="C49" s="187">
        <v>3131.8</v>
      </c>
      <c r="D49" s="187">
        <v>5798.58</v>
      </c>
      <c r="E49" s="187">
        <v>7840.38</v>
      </c>
      <c r="F49" s="187">
        <v>10543</v>
      </c>
      <c r="G49" s="54">
        <v>15220</v>
      </c>
      <c r="H49" s="30">
        <v>21728</v>
      </c>
      <c r="I49" s="30">
        <v>10626.16</v>
      </c>
      <c r="J49" s="30">
        <v>12342</v>
      </c>
      <c r="K49" s="30">
        <v>13051</v>
      </c>
      <c r="L49" s="193">
        <f>(L33*(1+L37))+L46</f>
        <v>16535.347566438952</v>
      </c>
      <c r="M49" s="202">
        <f>(M33*(1+M37))+M46</f>
        <v>17984.678493180065</v>
      </c>
      <c r="N49" s="202">
        <f>(N33*(1+N37))+N46</f>
        <v>20481.810088615621</v>
      </c>
      <c r="O49" s="202">
        <f>(O33*(1+O37))+O46</f>
        <v>21980.542437957869</v>
      </c>
      <c r="P49" s="202">
        <f>(P33*(1+P37))+P46</f>
        <v>27268.986438217184</v>
      </c>
      <c r="Q49" s="202">
        <f>(Q33*(1+Q37))+Q46</f>
        <v>28926.940813660785</v>
      </c>
    </row>
    <row r="50" spans="1:17" x14ac:dyDescent="0.3">
      <c r="A50" t="s">
        <v>52</v>
      </c>
      <c r="B50" s="187">
        <v>53350</v>
      </c>
      <c r="C50" s="187">
        <v>67784</v>
      </c>
      <c r="D50" s="187">
        <v>81677</v>
      </c>
      <c r="E50" s="187">
        <v>101000</v>
      </c>
      <c r="F50" s="187">
        <v>99143</v>
      </c>
      <c r="G50" s="203">
        <f>+B61</f>
        <v>175710.05</v>
      </c>
      <c r="H50" s="193">
        <f>+G50</f>
        <v>175710.05</v>
      </c>
      <c r="I50" s="193">
        <f>+H50</f>
        <v>175710.05</v>
      </c>
      <c r="J50" s="193">
        <f>+I50</f>
        <v>175710.05</v>
      </c>
      <c r="K50" s="193">
        <f>+J50</f>
        <v>175710.05</v>
      </c>
      <c r="L50" s="193">
        <f>+K50</f>
        <v>175710.05</v>
      </c>
      <c r="M50" s="193">
        <f>+L50</f>
        <v>175710.05</v>
      </c>
      <c r="N50" s="193">
        <f>+M50</f>
        <v>175710.05</v>
      </c>
      <c r="O50" s="193">
        <f>+N50</f>
        <v>175710.05</v>
      </c>
      <c r="P50" s="193">
        <f>+O50</f>
        <v>175710.05</v>
      </c>
      <c r="Q50" s="193">
        <f>+P50</f>
        <v>175710.05</v>
      </c>
    </row>
    <row r="51" spans="1:17" x14ac:dyDescent="0.3">
      <c r="A51" t="s">
        <v>53</v>
      </c>
      <c r="B51" s="188">
        <f>+B49/B50</f>
        <v>6.4010871602624184E-2</v>
      </c>
      <c r="C51" s="188">
        <f>+C49/C50</f>
        <v>4.6202643691726664E-2</v>
      </c>
      <c r="D51" s="188">
        <f>+D49/D50</f>
        <v>7.0994037489134021E-2</v>
      </c>
      <c r="E51" s="188">
        <f>+E49/E50</f>
        <v>7.7627524752475252E-2</v>
      </c>
      <c r="F51" s="188">
        <f>+F49/F50</f>
        <v>0.10634134532947359</v>
      </c>
      <c r="G51" s="188">
        <f>+G49/G50</f>
        <v>8.661997421319953E-2</v>
      </c>
      <c r="H51" s="188">
        <f>+H49/H50</f>
        <v>0.12365826542078841</v>
      </c>
      <c r="I51" s="188">
        <f>+I49/I50</f>
        <v>6.0475539105475186E-2</v>
      </c>
      <c r="J51" s="188">
        <f>+J49/J50</f>
        <v>7.0240717591281782E-2</v>
      </c>
      <c r="K51" s="188">
        <f>+K49/K50</f>
        <v>7.4275774208703488E-2</v>
      </c>
      <c r="L51" s="188">
        <f>+L49/L50</f>
        <v>9.4105872523734146E-2</v>
      </c>
      <c r="M51" s="188">
        <f>+M49/M50</f>
        <v>0.10235429614401718</v>
      </c>
      <c r="N51" s="188">
        <f>+N49/N50</f>
        <v>0.1165659567487211</v>
      </c>
      <c r="O51" s="188">
        <f>+O49/O50</f>
        <v>0.12509553345387966</v>
      </c>
      <c r="P51" s="188">
        <f>+P49/P50</f>
        <v>0.15519309475022736</v>
      </c>
      <c r="Q51" s="188">
        <f>+Q49/Q50</f>
        <v>0.16462883491104116</v>
      </c>
    </row>
    <row r="52" spans="1:17" x14ac:dyDescent="0.3">
      <c r="B52" s="4"/>
      <c r="C52" s="4"/>
      <c r="D52" s="4"/>
      <c r="E52" s="4"/>
      <c r="F52" s="4"/>
      <c r="G52" s="4"/>
      <c r="H52" s="4"/>
      <c r="I52" s="4"/>
    </row>
    <row r="53" spans="1:17" x14ac:dyDescent="0.3">
      <c r="A53" s="36"/>
      <c r="B53" s="36">
        <v>2022</v>
      </c>
      <c r="C53" s="36">
        <v>2023</v>
      </c>
      <c r="D53" s="36">
        <v>2024</v>
      </c>
      <c r="I53" s="17"/>
    </row>
    <row r="54" spans="1:17" x14ac:dyDescent="0.3">
      <c r="A54" t="s">
        <v>5</v>
      </c>
      <c r="B54" s="6">
        <v>4.7E-2</v>
      </c>
    </row>
    <row r="55" spans="1:17" x14ac:dyDescent="0.3">
      <c r="A55" t="s">
        <v>6</v>
      </c>
      <c r="B55" s="6">
        <f>+C56+B57</f>
        <v>0.13570467</v>
      </c>
      <c r="C55" s="6">
        <f>+B55</f>
        <v>0.13570467</v>
      </c>
      <c r="D55" s="6">
        <f>+C55</f>
        <v>0.13570467</v>
      </c>
      <c r="E55" s="6">
        <f>+D55</f>
        <v>0.13570467</v>
      </c>
      <c r="F55" s="6">
        <f>+E55</f>
        <v>0.13570467</v>
      </c>
      <c r="G55" s="6">
        <f>+F55</f>
        <v>0.13570467</v>
      </c>
    </row>
    <row r="56" spans="1:17" x14ac:dyDescent="0.3">
      <c r="A56" t="s">
        <v>32</v>
      </c>
      <c r="B56" s="39">
        <v>7.5704670000000002E-2</v>
      </c>
      <c r="C56" s="52">
        <v>7.5704670000000002E-2</v>
      </c>
    </row>
    <row r="57" spans="1:17" x14ac:dyDescent="0.3">
      <c r="A57" t="s">
        <v>31</v>
      </c>
      <c r="B57" s="6">
        <v>0.06</v>
      </c>
    </row>
    <row r="58" spans="1:17" x14ac:dyDescent="0.3">
      <c r="C58" s="3"/>
    </row>
    <row r="59" spans="1:17" x14ac:dyDescent="0.3">
      <c r="A59" s="22" t="s">
        <v>7</v>
      </c>
      <c r="B59" s="26"/>
      <c r="C59" s="26"/>
      <c r="D59" s="26">
        <f>NPV(D55,L44:R44)</f>
        <v>193039.49422159404</v>
      </c>
      <c r="E59" s="26">
        <f>NPV(E55,M44:R44)</f>
        <v>205195.71893538517</v>
      </c>
      <c r="F59" s="26">
        <f>NPV(F55,N44:S44)</f>
        <v>217825.62327704552</v>
      </c>
      <c r="G59" s="26">
        <f>NPV(F55,O44:R44)</f>
        <v>230163.01617361262</v>
      </c>
    </row>
    <row r="60" spans="1:17" x14ac:dyDescent="0.3">
      <c r="C60" s="39">
        <v>7.5704670000000002E-2</v>
      </c>
    </row>
    <row r="61" spans="1:17" x14ac:dyDescent="0.3">
      <c r="A61" t="s">
        <v>10</v>
      </c>
      <c r="B61" s="75">
        <v>175710.05</v>
      </c>
      <c r="C61" s="2" t="s">
        <v>399</v>
      </c>
      <c r="H61" s="18">
        <f>-B61</f>
        <v>-175710.05</v>
      </c>
      <c r="I61" s="18">
        <f>+M44</f>
        <v>15216.112981878818</v>
      </c>
      <c r="J61" s="18">
        <f>+N44</f>
        <v>17222.561427788671</v>
      </c>
      <c r="K61" s="18">
        <f>+O44</f>
        <v>18603.164604643505</v>
      </c>
      <c r="L61" s="18">
        <f>+R44</f>
        <v>296572.08761900902</v>
      </c>
      <c r="M61" s="18"/>
      <c r="N61" s="18"/>
    </row>
    <row r="62" spans="1:17" x14ac:dyDescent="0.3">
      <c r="A62" t="s">
        <v>33</v>
      </c>
      <c r="B62" s="6">
        <f>IRR(H61:L61)</f>
        <v>0.20514227979658117</v>
      </c>
    </row>
    <row r="63" spans="1:17" ht="15" thickBot="1" x14ac:dyDescent="0.35">
      <c r="A63" t="s">
        <v>25</v>
      </c>
      <c r="B63" s="6">
        <v>0.04</v>
      </c>
    </row>
    <row r="64" spans="1:17" ht="15" thickBot="1" x14ac:dyDescent="0.35">
      <c r="A64" s="19" t="s">
        <v>34</v>
      </c>
      <c r="B64" s="20">
        <f>+B62-B63</f>
        <v>0.16514227979658117</v>
      </c>
    </row>
    <row r="65" spans="1:12" x14ac:dyDescent="0.3">
      <c r="A65" t="s">
        <v>35</v>
      </c>
      <c r="B65" s="6">
        <f>+B64-B56</f>
        <v>8.9437609796581163E-2</v>
      </c>
    </row>
    <row r="67" spans="1:12" x14ac:dyDescent="0.3">
      <c r="A67" t="s">
        <v>36</v>
      </c>
      <c r="B67" s="38"/>
      <c r="C67" s="38">
        <v>5</v>
      </c>
      <c r="D67" s="38">
        <v>5.2</v>
      </c>
      <c r="E67" s="38">
        <v>5</v>
      </c>
      <c r="F67" s="38">
        <v>5.5</v>
      </c>
      <c r="G67" s="38">
        <v>5.5</v>
      </c>
      <c r="H67" t="s">
        <v>37</v>
      </c>
      <c r="I67">
        <v>7</v>
      </c>
    </row>
    <row r="68" spans="1:12" x14ac:dyDescent="0.3">
      <c r="A68" t="s">
        <v>21</v>
      </c>
      <c r="B68" s="5"/>
      <c r="C68" s="5">
        <f>+K33</f>
        <v>33801</v>
      </c>
      <c r="D68" s="5">
        <f>+L33</f>
        <v>49178.087937854361</v>
      </c>
      <c r="E68" s="5">
        <f>+M33</f>
        <v>51039.47607488525</v>
      </c>
      <c r="F68" s="5">
        <f>+N33</f>
        <v>52365.444541583718</v>
      </c>
      <c r="G68" s="5">
        <f>+O33</f>
        <v>55882.735011757293</v>
      </c>
      <c r="H68" t="s">
        <v>40</v>
      </c>
      <c r="I68" s="3">
        <f>+F67/I67-1</f>
        <v>-0.2142857142857143</v>
      </c>
    </row>
    <row r="69" spans="1:12" x14ac:dyDescent="0.3">
      <c r="A69" t="s">
        <v>38</v>
      </c>
      <c r="B69" s="14"/>
      <c r="C69" s="14">
        <f>+C67*C68</f>
        <v>169005</v>
      </c>
      <c r="D69" s="14">
        <f>+D67*D68</f>
        <v>255726.05727684268</v>
      </c>
      <c r="E69" s="14">
        <f>+E67*E68</f>
        <v>255197.38037442626</v>
      </c>
      <c r="F69" s="14">
        <f>+F67*F68</f>
        <v>288009.94497871044</v>
      </c>
      <c r="G69" s="14">
        <f>+G67*G68</f>
        <v>307355.04256466508</v>
      </c>
    </row>
    <row r="70" spans="1:12" x14ac:dyDescent="0.3">
      <c r="A70" t="s">
        <v>54</v>
      </c>
      <c r="B70" s="32"/>
      <c r="C70" s="32">
        <v>1.5</v>
      </c>
      <c r="D70" s="37">
        <v>1.6</v>
      </c>
      <c r="E70" s="37">
        <v>1.6</v>
      </c>
      <c r="F70" s="37">
        <v>1.6</v>
      </c>
      <c r="G70" s="37">
        <v>1.6</v>
      </c>
    </row>
    <row r="71" spans="1:12" x14ac:dyDescent="0.3">
      <c r="A71" t="s">
        <v>51</v>
      </c>
      <c r="B71" s="33"/>
      <c r="C71" s="33">
        <f>+C70*I33</f>
        <v>48048.555</v>
      </c>
      <c r="D71" s="33">
        <f>+D70*J33</f>
        <v>59742.400000000001</v>
      </c>
      <c r="E71" s="33">
        <f>+E70*K33</f>
        <v>54081.600000000006</v>
      </c>
      <c r="F71" s="33">
        <f>+F70*L33</f>
        <v>78684.940700566978</v>
      </c>
      <c r="G71" s="33">
        <f>+G70*M33</f>
        <v>81663.161719816402</v>
      </c>
    </row>
    <row r="72" spans="1:12" x14ac:dyDescent="0.3">
      <c r="A72" s="22" t="s">
        <v>39</v>
      </c>
      <c r="B72" s="23"/>
      <c r="C72" s="23">
        <f>+C69-C71</f>
        <v>120956.44500000001</v>
      </c>
      <c r="D72" s="23">
        <f>+D69-D71</f>
        <v>195983.65727684268</v>
      </c>
      <c r="E72" s="23">
        <f>+E69-E71</f>
        <v>201115.78037442625</v>
      </c>
      <c r="F72" s="23">
        <f>+F69-F71</f>
        <v>209325.00427814346</v>
      </c>
      <c r="G72" s="23">
        <f>+G69-G71</f>
        <v>225691.8808448487</v>
      </c>
      <c r="J72">
        <v>5.5</v>
      </c>
      <c r="K72">
        <v>7.3</v>
      </c>
      <c r="L72">
        <v>8.5</v>
      </c>
    </row>
    <row r="73" spans="1:12" x14ac:dyDescent="0.3">
      <c r="B73" s="8"/>
      <c r="J73">
        <v>8</v>
      </c>
      <c r="K73">
        <v>10</v>
      </c>
      <c r="L73">
        <v>12</v>
      </c>
    </row>
    <row r="74" spans="1:12" x14ac:dyDescent="0.3">
      <c r="B74" s="40"/>
      <c r="C74" s="40"/>
      <c r="D74" s="40"/>
      <c r="E74" s="40"/>
      <c r="F74" s="40"/>
      <c r="G74" s="40"/>
      <c r="J74">
        <v>5</v>
      </c>
      <c r="K74">
        <v>5.5</v>
      </c>
      <c r="L74">
        <v>6</v>
      </c>
    </row>
    <row r="75" spans="1:12" x14ac:dyDescent="0.3">
      <c r="A75" s="21"/>
      <c r="B75" s="24"/>
      <c r="J75" s="1">
        <v>-0.2</v>
      </c>
      <c r="K75" t="s">
        <v>323</v>
      </c>
      <c r="L75" s="1">
        <v>0.1</v>
      </c>
    </row>
    <row r="76" spans="1:12" x14ac:dyDescent="0.3">
      <c r="A76" t="s">
        <v>43</v>
      </c>
      <c r="B76" s="53">
        <v>8.5</v>
      </c>
      <c r="C76" s="53">
        <v>9</v>
      </c>
      <c r="D76" s="53">
        <v>9.5</v>
      </c>
      <c r="E76" s="53">
        <v>9</v>
      </c>
      <c r="F76" s="53">
        <v>10</v>
      </c>
      <c r="G76" s="53">
        <v>10</v>
      </c>
      <c r="H76" t="s">
        <v>37</v>
      </c>
      <c r="I76">
        <v>12</v>
      </c>
    </row>
    <row r="77" spans="1:12" x14ac:dyDescent="0.3">
      <c r="A77" s="22" t="s">
        <v>41</v>
      </c>
      <c r="B77" s="26"/>
      <c r="C77" s="26">
        <f>+C76*K41</f>
        <v>125001</v>
      </c>
      <c r="D77" s="26">
        <f>+D76*L41</f>
        <v>198982.59149308267</v>
      </c>
      <c r="E77" s="26">
        <f>+E76*M41</f>
        <v>195922.11693800482</v>
      </c>
      <c r="F77" s="26">
        <f>+F76*N41</f>
        <v>231771.36198882104</v>
      </c>
      <c r="G77" s="26">
        <f>+G76*O41</f>
        <v>245863.06079774137</v>
      </c>
      <c r="H77" t="s">
        <v>40</v>
      </c>
      <c r="I77" s="3">
        <f>+F76/I76-1</f>
        <v>-0.16666666666666663</v>
      </c>
    </row>
    <row r="78" spans="1:12" x14ac:dyDescent="0.3">
      <c r="B78">
        <v>110000</v>
      </c>
      <c r="C78">
        <v>118000</v>
      </c>
    </row>
    <row r="79" spans="1:12" x14ac:dyDescent="0.3">
      <c r="A79" s="25" t="s">
        <v>44</v>
      </c>
      <c r="B79" s="4">
        <f>1/B76</f>
        <v>0.11764705882352941</v>
      </c>
    </row>
    <row r="80" spans="1:12" x14ac:dyDescent="0.3">
      <c r="A80" t="s">
        <v>31</v>
      </c>
      <c r="B80" s="1">
        <v>0.06</v>
      </c>
    </row>
    <row r="83" spans="1:7" x14ac:dyDescent="0.3">
      <c r="A83" s="55" t="s">
        <v>47</v>
      </c>
      <c r="B83" s="56" t="s">
        <v>280</v>
      </c>
      <c r="C83" s="56" t="s">
        <v>351</v>
      </c>
      <c r="D83" s="56" t="s">
        <v>400</v>
      </c>
      <c r="E83" s="56" t="s">
        <v>48</v>
      </c>
      <c r="G83" s="56" t="s">
        <v>253</v>
      </c>
    </row>
    <row r="84" spans="1:7" x14ac:dyDescent="0.3">
      <c r="A84" s="57" t="s">
        <v>45</v>
      </c>
      <c r="B84" s="58">
        <f>+D59</f>
        <v>193039.49422159404</v>
      </c>
      <c r="C84" s="58">
        <f>+F59</f>
        <v>217825.62327704552</v>
      </c>
      <c r="D84" s="58">
        <f>+G59</f>
        <v>230163.01617361262</v>
      </c>
      <c r="E84" s="59" t="s">
        <v>401</v>
      </c>
      <c r="F84" s="133">
        <f>(4/12)*B84+(8/12)*C84</f>
        <v>209563.58025856168</v>
      </c>
      <c r="G84" s="58">
        <f>AVERAGE(B84:C84)</f>
        <v>205432.55874931978</v>
      </c>
    </row>
    <row r="85" spans="1:7" x14ac:dyDescent="0.3">
      <c r="A85" s="57" t="s">
        <v>46</v>
      </c>
      <c r="B85" s="60">
        <f>+D77</f>
        <v>198982.59149308267</v>
      </c>
      <c r="C85" s="60">
        <f>+E77</f>
        <v>195922.11693800482</v>
      </c>
      <c r="D85" s="60">
        <f>+F77</f>
        <v>231771.36198882104</v>
      </c>
      <c r="E85" s="59" t="s">
        <v>282</v>
      </c>
      <c r="F85" s="133">
        <f>(4/12)*B85+(8/12)*C85</f>
        <v>196942.27512303076</v>
      </c>
      <c r="G85" s="60">
        <f>AVERAGE(B85:C85)</f>
        <v>197452.35421554375</v>
      </c>
    </row>
    <row r="86" spans="1:7" x14ac:dyDescent="0.3">
      <c r="A86" s="57" t="s">
        <v>36</v>
      </c>
      <c r="B86" s="60">
        <f>+D72</f>
        <v>195983.65727684268</v>
      </c>
      <c r="C86" s="60">
        <f>+E72</f>
        <v>201115.78037442625</v>
      </c>
      <c r="D86" s="60">
        <f>+F72</f>
        <v>209325.00427814346</v>
      </c>
      <c r="E86" s="59" t="s">
        <v>409</v>
      </c>
      <c r="F86" s="133">
        <f>(4/12)*B86+(8/12)*C86</f>
        <v>199405.0726752317</v>
      </c>
      <c r="G86" s="60">
        <f>AVERAGE(B86:C86)</f>
        <v>198549.71882563445</v>
      </c>
    </row>
    <row r="87" spans="1:7" x14ac:dyDescent="0.3">
      <c r="A87" s="61" t="s">
        <v>242</v>
      </c>
      <c r="B87" s="62">
        <f>'Bottom up'!S90/1.15</f>
        <v>195746.98658233412</v>
      </c>
      <c r="C87" s="62">
        <f>'Bottom up'!S90*(1+$D$143)</f>
        <v>202598.13111271581</v>
      </c>
      <c r="D87" s="62">
        <f>'Bottom up'!S90</f>
        <v>225109.03456968424</v>
      </c>
      <c r="E87" s="63" t="s">
        <v>410</v>
      </c>
      <c r="F87" s="133">
        <f>(4/12)*B87+(8/12)*C87</f>
        <v>200314.41626925522</v>
      </c>
      <c r="G87" s="62">
        <f>AVERAGE(B87:C87)</f>
        <v>199172.55884752498</v>
      </c>
    </row>
    <row r="88" spans="1:7" x14ac:dyDescent="0.3">
      <c r="A88" s="64" t="s">
        <v>42</v>
      </c>
      <c r="B88" s="65">
        <f>AVERAGE(B84:B87)</f>
        <v>195938.18239346339</v>
      </c>
      <c r="C88" s="65">
        <f>AVERAGE(C84:C87)</f>
        <v>204365.41292554809</v>
      </c>
      <c r="D88" s="65">
        <f>AVERAGE(D84:D87)</f>
        <v>224092.1042525653</v>
      </c>
      <c r="E88" s="66" t="s">
        <v>57</v>
      </c>
      <c r="F88" s="133">
        <f>(4/12)*B88+(8/12)*C88</f>
        <v>201556.33608151984</v>
      </c>
      <c r="G88" s="65">
        <f>AVERAGE(B88:C88)</f>
        <v>200151.79765950574</v>
      </c>
    </row>
    <row r="89" spans="1:7" x14ac:dyDescent="0.3">
      <c r="A89" s="57" t="s">
        <v>49</v>
      </c>
      <c r="B89" s="60">
        <f>+B61</f>
        <v>175710.05</v>
      </c>
      <c r="C89" s="60">
        <f>+B61</f>
        <v>175710.05</v>
      </c>
      <c r="D89" s="60">
        <f>+C89</f>
        <v>175710.05</v>
      </c>
      <c r="E89" s="57"/>
      <c r="F89" s="57"/>
      <c r="G89" s="60">
        <f>+B61</f>
        <v>175710.05</v>
      </c>
    </row>
    <row r="90" spans="1:7" x14ac:dyDescent="0.3">
      <c r="A90" s="57" t="s">
        <v>50</v>
      </c>
      <c r="B90" s="67">
        <f>+B88/B89-1</f>
        <v>0.11512222774658243</v>
      </c>
      <c r="C90" s="67">
        <f>+C88/C89-1</f>
        <v>0.16308323243632405</v>
      </c>
      <c r="D90" s="67">
        <f>+D88/D89-1</f>
        <v>0.27535166174368131</v>
      </c>
      <c r="E90" s="67">
        <f>+C88/B89-1</f>
        <v>0.16308323243632405</v>
      </c>
      <c r="F90" s="67"/>
      <c r="G90" s="67">
        <f>+G88/G89-1</f>
        <v>0.13910273009145335</v>
      </c>
    </row>
    <row r="94" spans="1:7" x14ac:dyDescent="0.3">
      <c r="B94" s="25" t="s">
        <v>58</v>
      </c>
    </row>
    <row r="95" spans="1:7" x14ac:dyDescent="0.3">
      <c r="C95" s="4"/>
    </row>
    <row r="96" spans="1:7" x14ac:dyDescent="0.3">
      <c r="B96" s="89" t="s">
        <v>402</v>
      </c>
      <c r="C96" s="91">
        <f>+$E$96*0.8</f>
        <v>17415.299283378208</v>
      </c>
      <c r="D96" s="91">
        <f>+$E$96*0.9</f>
        <v>19592.211693800484</v>
      </c>
      <c r="E96" s="91">
        <f>+M41</f>
        <v>21769.124104222759</v>
      </c>
      <c r="F96" s="91">
        <f>+$E$96*1.1</f>
        <v>23946.036514645039</v>
      </c>
      <c r="G96" s="91">
        <f>+$E$96*1.2</f>
        <v>26122.94892506731</v>
      </c>
    </row>
    <row r="97" spans="1:8" x14ac:dyDescent="0.3">
      <c r="B97" s="90">
        <f>+B98-0.5</f>
        <v>7.5</v>
      </c>
      <c r="C97" s="28">
        <f>+$B97*C$96</f>
        <v>130614.74462533656</v>
      </c>
      <c r="D97" s="28">
        <f t="shared" ref="D97:G107" si="0">+$B97*D$96</f>
        <v>146941.58770350364</v>
      </c>
      <c r="E97" s="28">
        <f>+$B97*E$96</f>
        <v>163268.4307816707</v>
      </c>
      <c r="F97" s="28">
        <f t="shared" si="0"/>
        <v>179595.27385983779</v>
      </c>
      <c r="G97" s="28">
        <f t="shared" si="0"/>
        <v>195922.11693800482</v>
      </c>
    </row>
    <row r="98" spans="1:8" x14ac:dyDescent="0.3">
      <c r="B98" s="90">
        <f>+B99-0.5</f>
        <v>8</v>
      </c>
      <c r="C98" s="28">
        <f t="shared" ref="C98:C107" si="1">+$B98*C$96</f>
        <v>139322.39426702567</v>
      </c>
      <c r="D98" s="28">
        <f t="shared" si="0"/>
        <v>156737.69355040387</v>
      </c>
      <c r="E98" s="28">
        <f t="shared" si="0"/>
        <v>174152.99283378207</v>
      </c>
      <c r="F98" s="28">
        <f t="shared" si="0"/>
        <v>191568.29211716031</v>
      </c>
      <c r="G98" s="28">
        <f t="shared" si="0"/>
        <v>208983.59140053848</v>
      </c>
    </row>
    <row r="99" spans="1:8" ht="15" thickBot="1" x14ac:dyDescent="0.35">
      <c r="B99" s="90">
        <f>+B100-0.5</f>
        <v>8.5</v>
      </c>
      <c r="C99" s="28">
        <f t="shared" si="1"/>
        <v>148030.04390871478</v>
      </c>
      <c r="D99" s="28">
        <f t="shared" si="0"/>
        <v>166533.7993973041</v>
      </c>
      <c r="E99" s="28">
        <f t="shared" si="0"/>
        <v>185037.55488589345</v>
      </c>
      <c r="F99" s="28">
        <f t="shared" si="0"/>
        <v>203541.31037448283</v>
      </c>
      <c r="G99" s="28">
        <f t="shared" si="0"/>
        <v>222045.06586307214</v>
      </c>
      <c r="H99" s="29"/>
    </row>
    <row r="100" spans="1:8" ht="15" thickBot="1" x14ac:dyDescent="0.35">
      <c r="A100" t="s">
        <v>60</v>
      </c>
      <c r="B100" s="90">
        <v>9</v>
      </c>
      <c r="C100" s="28">
        <f t="shared" si="1"/>
        <v>156737.69355040387</v>
      </c>
      <c r="D100" s="28">
        <f t="shared" si="0"/>
        <v>176329.90524420436</v>
      </c>
      <c r="E100" s="92">
        <f>+$B100*E$96</f>
        <v>195922.11693800482</v>
      </c>
      <c r="F100" s="93">
        <f t="shared" si="0"/>
        <v>215514.32863180534</v>
      </c>
      <c r="G100" s="93">
        <f t="shared" si="0"/>
        <v>235106.54032560581</v>
      </c>
    </row>
    <row r="101" spans="1:8" x14ac:dyDescent="0.3">
      <c r="B101" s="90">
        <f>+B100+0.5</f>
        <v>9.5</v>
      </c>
      <c r="C101" s="28">
        <f t="shared" si="1"/>
        <v>165445.34319209299</v>
      </c>
      <c r="D101" s="28">
        <f t="shared" si="0"/>
        <v>186126.01109110459</v>
      </c>
      <c r="E101" s="93">
        <f t="shared" si="0"/>
        <v>206806.67899011623</v>
      </c>
      <c r="F101" s="93">
        <f t="shared" si="0"/>
        <v>227487.34688912786</v>
      </c>
      <c r="G101" s="93">
        <f t="shared" si="0"/>
        <v>248168.01478813944</v>
      </c>
    </row>
    <row r="102" spans="1:8" x14ac:dyDescent="0.3">
      <c r="B102" s="90">
        <f>+B101+0.5</f>
        <v>10</v>
      </c>
      <c r="C102" s="28">
        <f t="shared" si="1"/>
        <v>174152.99283378207</v>
      </c>
      <c r="D102" s="28">
        <f t="shared" si="0"/>
        <v>195922.11693800485</v>
      </c>
      <c r="E102" s="93">
        <f t="shared" si="0"/>
        <v>217691.2410422276</v>
      </c>
      <c r="F102" s="93">
        <f t="shared" si="0"/>
        <v>239460.36514645038</v>
      </c>
      <c r="G102" s="93">
        <f t="shared" si="0"/>
        <v>261229.4892506731</v>
      </c>
      <c r="H102" s="29"/>
    </row>
    <row r="103" spans="1:8" x14ac:dyDescent="0.3">
      <c r="A103" t="s">
        <v>59</v>
      </c>
      <c r="B103" s="90">
        <f>+B102+0.5</f>
        <v>10.5</v>
      </c>
      <c r="C103" s="28">
        <f t="shared" si="1"/>
        <v>182860.64247547119</v>
      </c>
      <c r="D103" s="28">
        <f t="shared" si="0"/>
        <v>205718.22278490508</v>
      </c>
      <c r="E103" s="93">
        <f>+$B103*E$96</f>
        <v>228575.80309433897</v>
      </c>
      <c r="F103" s="93">
        <f t="shared" si="0"/>
        <v>251433.3834037729</v>
      </c>
      <c r="G103" s="93">
        <f t="shared" si="0"/>
        <v>274290.96371320676</v>
      </c>
    </row>
    <row r="104" spans="1:8" x14ac:dyDescent="0.3">
      <c r="B104" s="90">
        <v>11</v>
      </c>
      <c r="C104" s="28">
        <f t="shared" si="1"/>
        <v>191568.29211716028</v>
      </c>
      <c r="D104" s="28">
        <f t="shared" si="0"/>
        <v>215514.32863180531</v>
      </c>
      <c r="E104" s="93">
        <f t="shared" si="0"/>
        <v>239460.36514645035</v>
      </c>
      <c r="F104" s="93">
        <f t="shared" si="0"/>
        <v>263406.40166109544</v>
      </c>
      <c r="G104" s="93">
        <f t="shared" si="0"/>
        <v>287352.43817574042</v>
      </c>
    </row>
    <row r="105" spans="1:8" x14ac:dyDescent="0.3">
      <c r="B105" s="90">
        <v>12</v>
      </c>
      <c r="C105" s="28">
        <f t="shared" si="1"/>
        <v>208983.59140053851</v>
      </c>
      <c r="D105" s="28">
        <f t="shared" si="0"/>
        <v>235106.54032560581</v>
      </c>
      <c r="E105" s="93">
        <f t="shared" si="0"/>
        <v>261229.4892506731</v>
      </c>
      <c r="F105" s="93">
        <f t="shared" si="0"/>
        <v>287352.43817574048</v>
      </c>
      <c r="G105" s="93">
        <f t="shared" si="0"/>
        <v>313475.38710080774</v>
      </c>
    </row>
    <row r="106" spans="1:8" x14ac:dyDescent="0.3">
      <c r="B106" s="90">
        <f>B105+0.5</f>
        <v>12.5</v>
      </c>
      <c r="C106" s="28">
        <f t="shared" si="1"/>
        <v>217691.2410422276</v>
      </c>
      <c r="D106" s="28">
        <f t="shared" si="0"/>
        <v>244902.64617250604</v>
      </c>
      <c r="E106" s="93">
        <f t="shared" si="0"/>
        <v>272114.05130278447</v>
      </c>
      <c r="F106" s="93">
        <f t="shared" si="0"/>
        <v>299325.45643306297</v>
      </c>
      <c r="G106" s="93">
        <f t="shared" si="0"/>
        <v>326536.8615633414</v>
      </c>
    </row>
    <row r="107" spans="1:8" x14ac:dyDescent="0.3">
      <c r="B107" s="90">
        <f>B106+0.5</f>
        <v>13</v>
      </c>
      <c r="C107" s="28">
        <f t="shared" si="1"/>
        <v>226398.89068391672</v>
      </c>
      <c r="D107" s="28">
        <f t="shared" si="0"/>
        <v>254698.7520194063</v>
      </c>
      <c r="E107" s="93">
        <f t="shared" si="0"/>
        <v>282998.61335489585</v>
      </c>
      <c r="F107" s="93">
        <f>+$B107*F$96</f>
        <v>311298.47469038551</v>
      </c>
      <c r="G107" s="93">
        <f t="shared" si="0"/>
        <v>339598.33602587506</v>
      </c>
    </row>
    <row r="109" spans="1:8" x14ac:dyDescent="0.3">
      <c r="B109" s="89" t="s">
        <v>403</v>
      </c>
      <c r="C109" s="91">
        <f>+$E$109*0.8</f>
        <v>40831.580859908201</v>
      </c>
      <c r="D109" s="91">
        <f>+$E$109*0.95</f>
        <v>48487.502271140984</v>
      </c>
      <c r="E109" s="91">
        <f>+M33</f>
        <v>51039.47607488525</v>
      </c>
      <c r="F109" s="91">
        <f>+$E$109*1.05</f>
        <v>53591.449878629515</v>
      </c>
      <c r="G109" s="91">
        <f>+$E$109*1.1</f>
        <v>56143.423682373781</v>
      </c>
    </row>
    <row r="110" spans="1:8" x14ac:dyDescent="0.3">
      <c r="B110" s="90">
        <v>4</v>
      </c>
      <c r="C110" s="28">
        <f t="shared" ref="C110:G117" si="2">+$B110*C$109-$E$71</f>
        <v>109244.7234396328</v>
      </c>
      <c r="D110" s="28">
        <f t="shared" si="2"/>
        <v>139868.40908456393</v>
      </c>
      <c r="E110" s="94">
        <f t="shared" si="2"/>
        <v>150076.30429954099</v>
      </c>
      <c r="F110" s="28">
        <f t="shared" si="2"/>
        <v>160284.19951451806</v>
      </c>
      <c r="G110" s="28">
        <f t="shared" si="2"/>
        <v>170492.09472949512</v>
      </c>
    </row>
    <row r="111" spans="1:8" x14ac:dyDescent="0.3">
      <c r="B111" s="90">
        <v>4.5</v>
      </c>
      <c r="C111" s="28">
        <f t="shared" si="2"/>
        <v>129660.5138695869</v>
      </c>
      <c r="D111" s="28">
        <f t="shared" si="2"/>
        <v>164112.16022013442</v>
      </c>
      <c r="E111" s="94">
        <f>+$B111*E$109-$E$71</f>
        <v>175596.04233698361</v>
      </c>
      <c r="F111" s="28">
        <f t="shared" si="2"/>
        <v>187079.92445383282</v>
      </c>
      <c r="G111" s="28">
        <f t="shared" si="2"/>
        <v>198563.80657068201</v>
      </c>
    </row>
    <row r="112" spans="1:8" ht="15" thickBot="1" x14ac:dyDescent="0.35">
      <c r="A112" t="s">
        <v>60</v>
      </c>
      <c r="B112" s="90">
        <v>5</v>
      </c>
      <c r="C112" s="28">
        <f t="shared" si="2"/>
        <v>150076.30429954099</v>
      </c>
      <c r="D112" s="28">
        <f t="shared" si="2"/>
        <v>188355.91135570491</v>
      </c>
      <c r="E112" s="94">
        <f t="shared" si="2"/>
        <v>201115.78037442625</v>
      </c>
      <c r="F112" s="28">
        <f t="shared" si="2"/>
        <v>213875.64939314759</v>
      </c>
      <c r="G112" s="28">
        <f t="shared" si="2"/>
        <v>226635.51841186892</v>
      </c>
      <c r="H112" s="47"/>
    </row>
    <row r="113" spans="1:8" ht="15" thickBot="1" x14ac:dyDescent="0.35">
      <c r="B113" s="90">
        <v>5.5</v>
      </c>
      <c r="C113" s="94">
        <f t="shared" si="2"/>
        <v>170492.09472949509</v>
      </c>
      <c r="D113" s="94">
        <f t="shared" si="2"/>
        <v>212599.66249127543</v>
      </c>
      <c r="E113" s="92">
        <f>+$B113*E$109-$E$71</f>
        <v>226635.51841186886</v>
      </c>
      <c r="F113" s="94">
        <f t="shared" si="2"/>
        <v>240671.37433246235</v>
      </c>
      <c r="G113" s="94">
        <f t="shared" si="2"/>
        <v>254707.23025305578</v>
      </c>
      <c r="H113" s="47"/>
    </row>
    <row r="114" spans="1:8" x14ac:dyDescent="0.3">
      <c r="B114" s="90">
        <v>6</v>
      </c>
      <c r="C114" s="28">
        <f t="shared" si="2"/>
        <v>190907.88515944922</v>
      </c>
      <c r="D114" s="28">
        <f t="shared" si="2"/>
        <v>236843.4136268459</v>
      </c>
      <c r="E114" s="94">
        <f t="shared" si="2"/>
        <v>252155.25644931148</v>
      </c>
      <c r="F114" s="28">
        <f t="shared" si="2"/>
        <v>267467.09927177709</v>
      </c>
      <c r="G114" s="28">
        <f t="shared" si="2"/>
        <v>282778.94209424267</v>
      </c>
      <c r="H114" s="47"/>
    </row>
    <row r="115" spans="1:8" x14ac:dyDescent="0.3">
      <c r="A115" t="s">
        <v>59</v>
      </c>
      <c r="B115" s="90">
        <v>6.5</v>
      </c>
      <c r="C115" s="28">
        <f t="shared" si="2"/>
        <v>211323.67558940328</v>
      </c>
      <c r="D115" s="28">
        <f t="shared" si="2"/>
        <v>261087.16476241636</v>
      </c>
      <c r="E115" s="94">
        <f t="shared" si="2"/>
        <v>277674.99448675406</v>
      </c>
      <c r="F115" s="28">
        <f t="shared" si="2"/>
        <v>294262.82421109185</v>
      </c>
      <c r="G115" s="28">
        <f t="shared" si="2"/>
        <v>310850.65393542952</v>
      </c>
      <c r="H115" s="47"/>
    </row>
    <row r="116" spans="1:8" x14ac:dyDescent="0.3">
      <c r="B116" s="90">
        <v>7</v>
      </c>
      <c r="C116" s="28">
        <f t="shared" si="2"/>
        <v>231739.46601935741</v>
      </c>
      <c r="D116" s="28">
        <f t="shared" si="2"/>
        <v>285330.91589798685</v>
      </c>
      <c r="E116" s="94">
        <f t="shared" si="2"/>
        <v>303194.73252419673</v>
      </c>
      <c r="F116" s="28">
        <f t="shared" si="2"/>
        <v>321058.54915040662</v>
      </c>
      <c r="G116" s="28">
        <f t="shared" si="2"/>
        <v>338922.3657766165</v>
      </c>
    </row>
    <row r="117" spans="1:8" x14ac:dyDescent="0.3">
      <c r="B117" s="90">
        <v>7.5</v>
      </c>
      <c r="C117" s="28">
        <f t="shared" si="2"/>
        <v>252155.25644931148</v>
      </c>
      <c r="D117" s="28">
        <f t="shared" si="2"/>
        <v>309574.66703355743</v>
      </c>
      <c r="E117" s="94">
        <f t="shared" si="2"/>
        <v>328714.47056163941</v>
      </c>
      <c r="F117" s="28">
        <f t="shared" si="2"/>
        <v>347854.27408972138</v>
      </c>
      <c r="G117" s="28">
        <f t="shared" si="2"/>
        <v>366994.07761780336</v>
      </c>
    </row>
    <row r="120" spans="1:8" x14ac:dyDescent="0.3">
      <c r="B120" s="25" t="s">
        <v>61</v>
      </c>
    </row>
    <row r="121" spans="1:8" x14ac:dyDescent="0.3">
      <c r="C121" s="41">
        <f>+F59</f>
        <v>217825.62327704552</v>
      </c>
      <c r="E121" s="89" t="s">
        <v>65</v>
      </c>
      <c r="F121" s="89" t="s">
        <v>77</v>
      </c>
    </row>
    <row r="122" spans="1:8" x14ac:dyDescent="0.3">
      <c r="B122" s="7">
        <v>5.5E-2</v>
      </c>
      <c r="C122" s="41">
        <f t="dataTable" ref="C122:C129" dt2D="0" dtr="0" r1="C56"/>
        <v>288241.94861417817</v>
      </c>
      <c r="E122" s="7">
        <v>0.06</v>
      </c>
      <c r="F122" s="41">
        <v>155823.9623621862</v>
      </c>
      <c r="H122">
        <v>185000</v>
      </c>
    </row>
    <row r="123" spans="1:8" x14ac:dyDescent="0.3">
      <c r="B123" s="7">
        <v>0.06</v>
      </c>
      <c r="C123" s="41">
        <v>267521.40202336147</v>
      </c>
      <c r="E123" s="7">
        <v>6.5000000000000002E-2</v>
      </c>
      <c r="F123" s="41">
        <v>145515.73942306588</v>
      </c>
      <c r="H123">
        <v>137047</v>
      </c>
    </row>
    <row r="124" spans="1:8" x14ac:dyDescent="0.3">
      <c r="B124" s="7">
        <v>7.0000000000000007E-2</v>
      </c>
      <c r="C124" s="41">
        <v>233667.36055520721</v>
      </c>
      <c r="E124" s="7">
        <v>7.0000000000000007E-2</v>
      </c>
      <c r="F124" s="41">
        <v>136424.66933172185</v>
      </c>
      <c r="G124" s="29"/>
      <c r="H124">
        <f>+H122/H123</f>
        <v>1.3499018584865046</v>
      </c>
    </row>
    <row r="125" spans="1:8" x14ac:dyDescent="0.3">
      <c r="B125" s="42">
        <v>7.5704670000000002E-2</v>
      </c>
      <c r="C125" s="43">
        <v>217825.62327704552</v>
      </c>
      <c r="E125" s="42">
        <v>7.3999999999999996E-2</v>
      </c>
      <c r="F125" s="43">
        <v>129891.47163745607</v>
      </c>
      <c r="G125" s="29"/>
      <c r="H125">
        <f>+H124*1.2</f>
        <v>1.6198822301838054</v>
      </c>
    </row>
    <row r="126" spans="1:8" x14ac:dyDescent="0.3">
      <c r="B126" s="7">
        <v>7.4999999999999997E-2</v>
      </c>
      <c r="C126" s="41">
        <v>219669.3221728174</v>
      </c>
      <c r="E126" s="7">
        <v>7.4999999999999997E-2</v>
      </c>
      <c r="F126" s="41">
        <v>128349.57807928532</v>
      </c>
      <c r="G126" s="29"/>
    </row>
    <row r="127" spans="1:8" x14ac:dyDescent="0.3">
      <c r="B127" s="7">
        <v>0.08</v>
      </c>
      <c r="C127" s="41">
        <v>207202.58891412531</v>
      </c>
      <c r="E127" s="7">
        <v>0.08</v>
      </c>
      <c r="F127" s="41">
        <v>121131.22055820949</v>
      </c>
      <c r="G127" s="29"/>
    </row>
    <row r="128" spans="1:8" x14ac:dyDescent="0.3">
      <c r="B128" s="7">
        <v>8.5000000000000006E-2</v>
      </c>
      <c r="C128" s="41">
        <v>196031.81540004874</v>
      </c>
      <c r="E128" s="7">
        <v>8.5000000000000006E-2</v>
      </c>
      <c r="F128" s="41">
        <v>114641.901489511</v>
      </c>
      <c r="G128" s="29"/>
    </row>
    <row r="129" spans="2:8" x14ac:dyDescent="0.3">
      <c r="B129" s="7">
        <v>0.09</v>
      </c>
      <c r="C129" s="41">
        <v>185967.39158253034</v>
      </c>
      <c r="E129" s="7">
        <v>0.09</v>
      </c>
      <c r="F129" s="41">
        <v>108778.03384831194</v>
      </c>
    </row>
    <row r="131" spans="2:8" x14ac:dyDescent="0.3">
      <c r="B131" s="88" t="s">
        <v>62</v>
      </c>
      <c r="C131" s="81"/>
      <c r="E131" s="88" t="s">
        <v>66</v>
      </c>
      <c r="F131" s="88"/>
    </row>
    <row r="132" spans="2:8" x14ac:dyDescent="0.3">
      <c r="B132" s="48" t="s">
        <v>408</v>
      </c>
      <c r="C132" s="205">
        <v>-0.1</v>
      </c>
      <c r="E132" t="s">
        <v>67</v>
      </c>
      <c r="F132" s="44"/>
    </row>
    <row r="133" spans="2:8" x14ac:dyDescent="0.3">
      <c r="B133" s="48" t="s">
        <v>290</v>
      </c>
      <c r="C133" s="83">
        <f>NPV($B$128+$B$57,N45:R45)</f>
        <v>153907.13395839569</v>
      </c>
      <c r="E133" t="s">
        <v>283</v>
      </c>
      <c r="F133" s="5">
        <f>F129</f>
        <v>108778.03384831194</v>
      </c>
    </row>
    <row r="134" spans="2:8" x14ac:dyDescent="0.3">
      <c r="B134" s="48" t="s">
        <v>289</v>
      </c>
      <c r="C134" s="83">
        <f>+$D$134*E96</f>
        <v>152383.86872955933</v>
      </c>
      <c r="D134" s="53">
        <v>7</v>
      </c>
      <c r="E134" t="s">
        <v>285</v>
      </c>
      <c r="F134" s="14">
        <f>(E96*G134)</f>
        <v>130614.74462533655</v>
      </c>
      <c r="G134">
        <v>6</v>
      </c>
    </row>
    <row r="135" spans="2:8" x14ac:dyDescent="0.3">
      <c r="B135" s="48" t="s">
        <v>284</v>
      </c>
      <c r="C135" s="83">
        <f>+$D$135*E109-$E$71</f>
        <v>150076.30429954099</v>
      </c>
      <c r="D135" s="53">
        <v>4</v>
      </c>
      <c r="E135" t="s">
        <v>284</v>
      </c>
      <c r="F135" s="44">
        <f>+D110</f>
        <v>139868.40908456393</v>
      </c>
      <c r="G135">
        <v>5</v>
      </c>
    </row>
    <row r="136" spans="2:8" x14ac:dyDescent="0.3">
      <c r="B136" s="48" t="s">
        <v>267</v>
      </c>
      <c r="C136" s="147">
        <f>+C87*0.8</f>
        <v>162078.50489017265</v>
      </c>
      <c r="D136" s="4"/>
      <c r="E136" s="21" t="s">
        <v>42</v>
      </c>
      <c r="F136" s="45">
        <f>AVERAGE(F133:F135)</f>
        <v>126420.39585273748</v>
      </c>
    </row>
    <row r="137" spans="2:8" x14ac:dyDescent="0.3">
      <c r="B137" s="84" t="s">
        <v>42</v>
      </c>
      <c r="C137" s="85">
        <f>AVERAGE(C133:C136)</f>
        <v>154611.45296941718</v>
      </c>
      <c r="D137" s="3">
        <f>+C137/C$89-1</f>
        <v>-0.12007621095425569</v>
      </c>
    </row>
    <row r="138" spans="2:8" x14ac:dyDescent="0.3">
      <c r="B138" s="88" t="s">
        <v>63</v>
      </c>
      <c r="C138" s="81"/>
    </row>
    <row r="139" spans="2:8" x14ac:dyDescent="0.3">
      <c r="B139" s="48" t="s">
        <v>404</v>
      </c>
      <c r="C139" s="48"/>
    </row>
    <row r="140" spans="2:8" x14ac:dyDescent="0.3">
      <c r="B140" s="48" t="s">
        <v>406</v>
      </c>
      <c r="C140" s="83">
        <f>C84</f>
        <v>217825.62327704552</v>
      </c>
    </row>
    <row r="141" spans="2:8" x14ac:dyDescent="0.3">
      <c r="B141" s="48" t="s">
        <v>287</v>
      </c>
      <c r="C141" s="82">
        <f>C85</f>
        <v>195922.11693800482</v>
      </c>
    </row>
    <row r="142" spans="2:8" x14ac:dyDescent="0.3">
      <c r="B142" s="48" t="s">
        <v>412</v>
      </c>
      <c r="C142" s="82">
        <f>C86</f>
        <v>201115.78037442625</v>
      </c>
    </row>
    <row r="143" spans="2:8" x14ac:dyDescent="0.3">
      <c r="B143" s="50" t="s">
        <v>413</v>
      </c>
      <c r="C143" s="147">
        <f>C87</f>
        <v>202598.13111271581</v>
      </c>
      <c r="D143" s="206">
        <v>-0.1</v>
      </c>
      <c r="E143" s="51"/>
      <c r="F143" s="51"/>
      <c r="G143" s="51"/>
      <c r="H143" s="51"/>
    </row>
    <row r="144" spans="2:8" x14ac:dyDescent="0.3">
      <c r="B144" s="86" t="s">
        <v>42</v>
      </c>
      <c r="C144" s="85">
        <f>AVERAGE(C140:C143)</f>
        <v>204365.41292554809</v>
      </c>
      <c r="D144" s="3">
        <f>+C144/C$89-1</f>
        <v>0.16308323243632405</v>
      </c>
      <c r="E144" s="48"/>
      <c r="F144" s="76"/>
      <c r="G144" s="76"/>
      <c r="H144" s="49"/>
    </row>
    <row r="145" spans="2:8" x14ac:dyDescent="0.3">
      <c r="B145" s="88" t="s">
        <v>64</v>
      </c>
      <c r="C145" s="81"/>
      <c r="E145" s="48"/>
      <c r="F145" s="70"/>
      <c r="G145" s="70"/>
      <c r="H145" s="49"/>
    </row>
    <row r="146" spans="2:8" x14ac:dyDescent="0.3">
      <c r="B146" s="48" t="s">
        <v>405</v>
      </c>
      <c r="C146" s="48"/>
      <c r="E146" s="48"/>
      <c r="F146" s="70"/>
      <c r="G146" s="70"/>
      <c r="H146" s="49"/>
    </row>
    <row r="147" spans="2:8" x14ac:dyDescent="0.3">
      <c r="B147" s="48" t="s">
        <v>357</v>
      </c>
      <c r="C147" s="83">
        <f>+C123</f>
        <v>267521.40202336147</v>
      </c>
      <c r="E147" s="77"/>
      <c r="F147" s="71"/>
      <c r="G147" s="71"/>
      <c r="H147" s="51"/>
    </row>
    <row r="148" spans="2:8" x14ac:dyDescent="0.3">
      <c r="B148" s="48" t="s">
        <v>411</v>
      </c>
      <c r="C148" s="82">
        <f>+$D$148*E96</f>
        <v>239460.36514645035</v>
      </c>
      <c r="D148" s="53">
        <v>11</v>
      </c>
      <c r="E148" s="48"/>
      <c r="F148" s="70"/>
      <c r="G148" s="48"/>
      <c r="H148" s="48"/>
    </row>
    <row r="149" spans="2:8" x14ac:dyDescent="0.3">
      <c r="B149" s="48" t="s">
        <v>292</v>
      </c>
      <c r="C149" s="82">
        <f>+$D$149*E109-$E$71</f>
        <v>226635.51841186886</v>
      </c>
      <c r="D149" s="53">
        <v>5.5</v>
      </c>
      <c r="E149" s="48"/>
      <c r="F149" s="78"/>
      <c r="G149" s="78"/>
      <c r="H149" s="48"/>
    </row>
    <row r="150" spans="2:8" x14ac:dyDescent="0.3">
      <c r="B150" s="48" t="s">
        <v>326</v>
      </c>
      <c r="C150" s="147">
        <f>+C87*1.2</f>
        <v>243117.75733525897</v>
      </c>
    </row>
    <row r="151" spans="2:8" x14ac:dyDescent="0.3">
      <c r="B151" s="84" t="s">
        <v>42</v>
      </c>
      <c r="C151" s="85">
        <f>AVERAGE(C147:C150)</f>
        <v>244183.76072923493</v>
      </c>
      <c r="D151" s="3">
        <f>+C151/C$89-1</f>
        <v>0.38969717855771457</v>
      </c>
    </row>
  </sheetData>
  <phoneticPr fontId="8" type="noConversion"/>
  <pageMargins left="0.7" right="0.7" top="0.75" bottom="0.75" header="0.3" footer="0.3"/>
  <pageSetup paperSize="9" orientation="portrait" r:id="rId1"/>
  <headerFooter>
    <oddFooter>&amp;R_x000D_&amp;1#&amp;"Calibri"&amp;10&amp;K008000 [ CLASSIFICAÇÃO: PÚBLICA 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4F15-9B74-41F4-9AA9-22F42ABDA1D8}">
  <dimension ref="G15:I47"/>
  <sheetViews>
    <sheetView showGridLines="0" topLeftCell="D10" zoomScale="70" zoomScaleNormal="70" workbookViewId="0">
      <selection activeCell="L22" sqref="L22"/>
    </sheetView>
  </sheetViews>
  <sheetFormatPr defaultRowHeight="14.4" x14ac:dyDescent="0.3"/>
  <cols>
    <col min="7" max="8" width="25.5546875" customWidth="1"/>
    <col min="9" max="9" width="43.44140625" customWidth="1"/>
  </cols>
  <sheetData>
    <row r="15" spans="7:9" x14ac:dyDescent="0.3">
      <c r="G15" s="118" t="s">
        <v>73</v>
      </c>
      <c r="H15" s="119" t="s">
        <v>71</v>
      </c>
      <c r="I15" s="120" t="s">
        <v>72</v>
      </c>
    </row>
    <row r="16" spans="7:9" x14ac:dyDescent="0.3">
      <c r="G16" s="121" t="s">
        <v>68</v>
      </c>
      <c r="H16" s="122">
        <v>136329.41576537292</v>
      </c>
      <c r="I16" s="103" t="s">
        <v>244</v>
      </c>
    </row>
    <row r="17" spans="7:9" x14ac:dyDescent="0.3">
      <c r="G17" s="123" t="s">
        <v>74</v>
      </c>
      <c r="H17" s="122">
        <v>143127</v>
      </c>
      <c r="I17" s="103" t="s">
        <v>245</v>
      </c>
    </row>
    <row r="18" spans="7:9" x14ac:dyDescent="0.3">
      <c r="G18" s="124" t="s">
        <v>36</v>
      </c>
      <c r="H18" s="122">
        <v>149841.837</v>
      </c>
      <c r="I18" s="103" t="s">
        <v>246</v>
      </c>
    </row>
    <row r="19" spans="7:9" x14ac:dyDescent="0.3">
      <c r="G19" s="117" t="s">
        <v>243</v>
      </c>
      <c r="H19" s="125">
        <v>151058.91882823635</v>
      </c>
      <c r="I19" s="126"/>
    </row>
    <row r="20" spans="7:9" x14ac:dyDescent="0.3">
      <c r="G20" s="127" t="s">
        <v>69</v>
      </c>
      <c r="H20" s="128">
        <v>145089.29289840232</v>
      </c>
      <c r="I20" s="129" t="s">
        <v>247</v>
      </c>
    </row>
    <row r="21" spans="7:9" x14ac:dyDescent="0.3">
      <c r="G21" s="123" t="s">
        <v>75</v>
      </c>
      <c r="H21" s="130">
        <v>122098.1</v>
      </c>
      <c r="I21" s="131"/>
    </row>
    <row r="22" spans="7:9" x14ac:dyDescent="0.3">
      <c r="G22" s="123" t="s">
        <v>70</v>
      </c>
      <c r="H22" s="132">
        <v>0.18830098829058195</v>
      </c>
      <c r="I22" s="132"/>
    </row>
    <row r="26" spans="7:9" x14ac:dyDescent="0.3">
      <c r="G26" s="179" t="s">
        <v>78</v>
      </c>
      <c r="H26" s="180"/>
    </row>
    <row r="27" spans="7:9" x14ac:dyDescent="0.3">
      <c r="G27" s="178" t="s">
        <v>85</v>
      </c>
      <c r="H27" s="178"/>
    </row>
    <row r="28" spans="7:9" x14ac:dyDescent="0.3">
      <c r="G28" s="79" t="s">
        <v>86</v>
      </c>
      <c r="H28" s="68">
        <v>161340.43412455896</v>
      </c>
    </row>
    <row r="29" spans="7:9" x14ac:dyDescent="0.3">
      <c r="G29" s="49" t="s">
        <v>79</v>
      </c>
      <c r="H29" s="68">
        <v>147160</v>
      </c>
    </row>
    <row r="30" spans="7:9" x14ac:dyDescent="0.3">
      <c r="G30" s="74" t="s">
        <v>87</v>
      </c>
      <c r="H30" s="80">
        <v>138601.84</v>
      </c>
    </row>
    <row r="31" spans="7:9" x14ac:dyDescent="0.3">
      <c r="G31" s="73" t="s">
        <v>69</v>
      </c>
      <c r="H31" s="71">
        <v>149034.09137485296</v>
      </c>
    </row>
    <row r="32" spans="7:9" x14ac:dyDescent="0.3">
      <c r="G32" s="69"/>
      <c r="H32" s="70"/>
      <c r="I32" s="48"/>
    </row>
    <row r="33" spans="7:9" x14ac:dyDescent="0.3">
      <c r="G33" s="69"/>
      <c r="H33" s="72"/>
      <c r="I33" s="72"/>
    </row>
    <row r="35" spans="7:9" x14ac:dyDescent="0.3">
      <c r="G35" s="179" t="s">
        <v>80</v>
      </c>
      <c r="H35" s="180"/>
    </row>
    <row r="36" spans="7:9" x14ac:dyDescent="0.3">
      <c r="G36" s="178" t="s">
        <v>85</v>
      </c>
      <c r="H36" s="178"/>
    </row>
    <row r="37" spans="7:9" x14ac:dyDescent="0.3">
      <c r="G37" s="79" t="s">
        <v>88</v>
      </c>
      <c r="H37" s="68">
        <v>124722.28450864225</v>
      </c>
    </row>
    <row r="38" spans="7:9" x14ac:dyDescent="0.3">
      <c r="G38" s="49" t="s">
        <v>89</v>
      </c>
      <c r="H38" s="68">
        <v>125086</v>
      </c>
    </row>
    <row r="39" spans="7:9" x14ac:dyDescent="0.3">
      <c r="G39" s="74" t="s">
        <v>90</v>
      </c>
      <c r="H39" s="80">
        <v>135541.34</v>
      </c>
    </row>
    <row r="40" spans="7:9" x14ac:dyDescent="0.3">
      <c r="G40" s="73" t="s">
        <v>69</v>
      </c>
      <c r="H40" s="71">
        <v>128449.87483621408</v>
      </c>
    </row>
    <row r="42" spans="7:9" x14ac:dyDescent="0.3">
      <c r="G42" s="179" t="s">
        <v>81</v>
      </c>
      <c r="H42" s="180"/>
    </row>
    <row r="43" spans="7:9" x14ac:dyDescent="0.3">
      <c r="G43" s="178" t="s">
        <v>82</v>
      </c>
      <c r="H43" s="178"/>
    </row>
    <row r="44" spans="7:9" x14ac:dyDescent="0.3">
      <c r="G44" s="79" t="s">
        <v>91</v>
      </c>
      <c r="H44" s="68">
        <v>103972.26020960313</v>
      </c>
    </row>
    <row r="45" spans="7:9" x14ac:dyDescent="0.3">
      <c r="G45" s="49" t="s">
        <v>83</v>
      </c>
      <c r="H45" s="68">
        <v>88296</v>
      </c>
    </row>
    <row r="46" spans="7:9" x14ac:dyDescent="0.3">
      <c r="G46" s="74" t="s">
        <v>84</v>
      </c>
      <c r="H46" s="80">
        <v>72826.390000000014</v>
      </c>
    </row>
    <row r="47" spans="7:9" x14ac:dyDescent="0.3">
      <c r="G47" s="73" t="s">
        <v>69</v>
      </c>
      <c r="H47" s="71">
        <v>88364.883403201049</v>
      </c>
    </row>
  </sheetData>
  <mergeCells count="6">
    <mergeCell ref="G43:H43"/>
    <mergeCell ref="G26:H26"/>
    <mergeCell ref="G27:H27"/>
    <mergeCell ref="G35:H35"/>
    <mergeCell ref="G36:H36"/>
    <mergeCell ref="G42:H42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&amp;R_x000D_&amp;1#&amp;"Calibri"&amp;10&amp;K008000 [ CLASSIFICAÇÃO: PÚBLICA ]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F8F1-2FD6-45B4-A101-61E44D7F0199}">
  <dimension ref="A3:O165"/>
  <sheetViews>
    <sheetView showGridLines="0" zoomScale="70" zoomScaleNormal="70" workbookViewId="0">
      <pane xSplit="1" topLeftCell="B1" activePane="topRight" state="frozen"/>
      <selection pane="topRight" activeCell="C51" sqref="C51"/>
    </sheetView>
  </sheetViews>
  <sheetFormatPr defaultRowHeight="14.4" outlineLevelCol="1" x14ac:dyDescent="0.3"/>
  <cols>
    <col min="1" max="1" width="20.44140625" bestFit="1" customWidth="1"/>
    <col min="2" max="2" width="42.77734375" bestFit="1" customWidth="1"/>
    <col min="3" max="3" width="18.44140625" customWidth="1" outlineLevel="1"/>
    <col min="4" max="4" width="21.44140625" customWidth="1" outlineLevel="1"/>
    <col min="5" max="5" width="22.44140625" customWidth="1" outlineLevel="1"/>
    <col min="6" max="6" width="18.5546875" bestFit="1" customWidth="1"/>
    <col min="7" max="7" width="29.44140625" bestFit="1" customWidth="1"/>
    <col min="8" max="8" width="24.5546875" bestFit="1" customWidth="1"/>
    <col min="9" max="10" width="15.5546875" bestFit="1" customWidth="1"/>
    <col min="11" max="11" width="14.5546875" customWidth="1"/>
    <col min="12" max="12" width="11.5546875" customWidth="1"/>
    <col min="13" max="13" width="11.44140625" bestFit="1" customWidth="1"/>
    <col min="14" max="14" width="12.44140625" bestFit="1" customWidth="1"/>
    <col min="15" max="15" width="12.5546875" customWidth="1"/>
  </cols>
  <sheetData>
    <row r="3" spans="1:8" x14ac:dyDescent="0.3">
      <c r="A3" t="s">
        <v>8</v>
      </c>
      <c r="B3" s="2">
        <v>42035</v>
      </c>
    </row>
    <row r="4" spans="1:8" x14ac:dyDescent="0.3">
      <c r="A4" t="s">
        <v>9</v>
      </c>
    </row>
    <row r="6" spans="1:8" x14ac:dyDescent="0.3">
      <c r="B6" t="s">
        <v>10</v>
      </c>
    </row>
    <row r="7" spans="1:8" x14ac:dyDescent="0.3"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</row>
    <row r="8" spans="1:8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</row>
    <row r="9" spans="1:8" x14ac:dyDescent="0.3">
      <c r="A9" s="2">
        <v>42369</v>
      </c>
      <c r="B9">
        <v>50933.025399999999</v>
      </c>
      <c r="C9">
        <v>4340.9337999999998</v>
      </c>
      <c r="D9">
        <v>11711.523499999999</v>
      </c>
      <c r="E9">
        <v>8429.9379000000008</v>
      </c>
      <c r="F9">
        <v>3622.5734000000002</v>
      </c>
      <c r="G9">
        <v>-6006.7782999999999</v>
      </c>
      <c r="H9">
        <v>1795.45</v>
      </c>
    </row>
    <row r="10" spans="1:8" x14ac:dyDescent="0.3">
      <c r="A10" s="2">
        <v>42734</v>
      </c>
      <c r="B10">
        <v>51835.2238</v>
      </c>
      <c r="C10">
        <v>2932.4205000000002</v>
      </c>
      <c r="D10">
        <v>11875.1651</v>
      </c>
      <c r="E10">
        <v>5617.0209000000004</v>
      </c>
      <c r="F10">
        <v>3337.1995000000002</v>
      </c>
      <c r="G10">
        <v>-4916.4404999999997</v>
      </c>
      <c r="H10">
        <v>3430.7930000000001</v>
      </c>
    </row>
    <row r="11" spans="1:8" x14ac:dyDescent="0.3">
      <c r="A11" s="2">
        <v>43098</v>
      </c>
      <c r="B11">
        <v>53188.909099999997</v>
      </c>
      <c r="C11">
        <v>7486.0273999999999</v>
      </c>
      <c r="D11">
        <v>13924.468199999999</v>
      </c>
      <c r="E11">
        <v>12053.8624</v>
      </c>
      <c r="F11">
        <v>4173.4609</v>
      </c>
      <c r="G11">
        <v>-3396.7174</v>
      </c>
      <c r="H11">
        <v>5311.5068000000001</v>
      </c>
    </row>
    <row r="12" spans="1:8" x14ac:dyDescent="0.3">
      <c r="A12" s="2">
        <v>43465</v>
      </c>
      <c r="B12" s="1">
        <v>62126.511500000001</v>
      </c>
      <c r="C12">
        <v>8305.7399000000005</v>
      </c>
      <c r="D12">
        <v>17915.346600000001</v>
      </c>
      <c r="E12">
        <v>13193.919599999999</v>
      </c>
      <c r="F12">
        <v>5789.3859000000002</v>
      </c>
      <c r="G12">
        <v>-3648.3768</v>
      </c>
      <c r="H12">
        <v>7444.0316999999995</v>
      </c>
    </row>
    <row r="13" spans="1:8" x14ac:dyDescent="0.3">
      <c r="A13" s="2">
        <v>43830</v>
      </c>
      <c r="B13" s="1">
        <v>69509.336599999995</v>
      </c>
      <c r="C13">
        <v>10516.815399999999</v>
      </c>
      <c r="D13">
        <v>18986.613099999999</v>
      </c>
      <c r="E13">
        <v>16458.039100000002</v>
      </c>
      <c r="F13">
        <v>6747.1827999999996</v>
      </c>
      <c r="G13">
        <v>-3692.3865999999998</v>
      </c>
      <c r="H13">
        <v>8074.2956000000004</v>
      </c>
    </row>
    <row r="14" spans="1:8" x14ac:dyDescent="0.3">
      <c r="A14" s="2">
        <v>44196</v>
      </c>
      <c r="B14" s="1">
        <v>74724.450899999996</v>
      </c>
      <c r="C14">
        <v>5240.4805999999999</v>
      </c>
      <c r="D14">
        <v>18323.231100000001</v>
      </c>
      <c r="E14">
        <v>13110.0875</v>
      </c>
      <c r="F14">
        <v>3059.7040000000002</v>
      </c>
      <c r="G14">
        <v>-3981.0913</v>
      </c>
      <c r="H14">
        <v>9769.0375999999997</v>
      </c>
    </row>
    <row r="15" spans="1:8" x14ac:dyDescent="0.3">
      <c r="A15" s="2">
        <v>44561</v>
      </c>
      <c r="B15" s="1">
        <v>98600.266099999993</v>
      </c>
      <c r="C15">
        <v>22295.126700000001</v>
      </c>
      <c r="D15">
        <v>31140.2523</v>
      </c>
      <c r="E15">
        <v>29770.686000000002</v>
      </c>
      <c r="F15">
        <v>14640.9082</v>
      </c>
      <c r="G15">
        <v>-4623.3558000000003</v>
      </c>
      <c r="H15">
        <v>14470.0898</v>
      </c>
    </row>
    <row r="16" spans="1:8" x14ac:dyDescent="0.3">
      <c r="A16" s="2">
        <v>44925</v>
      </c>
      <c r="B16" s="1">
        <v>124364.3708</v>
      </c>
      <c r="C16">
        <v>26111.250400000001</v>
      </c>
      <c r="D16">
        <v>35166.443299999999</v>
      </c>
      <c r="E16">
        <v>36378.355799999998</v>
      </c>
      <c r="F16">
        <v>19187.8727</v>
      </c>
      <c r="G16">
        <v>-8154.5465000000004</v>
      </c>
      <c r="H16">
        <v>13211.068499999999</v>
      </c>
    </row>
    <row r="17" spans="1:14" x14ac:dyDescent="0.3">
      <c r="A17" s="97">
        <v>45289</v>
      </c>
      <c r="B17" s="10">
        <v>134959.0208</v>
      </c>
      <c r="C17" s="10">
        <v>21080.632300000001</v>
      </c>
      <c r="D17" s="10">
        <v>33340.125999999997</v>
      </c>
      <c r="E17" s="10">
        <v>31869.7274</v>
      </c>
      <c r="F17" s="10">
        <v>14182.33</v>
      </c>
      <c r="G17" s="10">
        <v>-9010.8438000000006</v>
      </c>
      <c r="H17" s="10">
        <v>12063.539500000001</v>
      </c>
      <c r="I17" s="10">
        <v>2022</v>
      </c>
      <c r="J17" s="10">
        <v>2023</v>
      </c>
      <c r="K17" s="10">
        <v>2024</v>
      </c>
      <c r="L17" s="10">
        <v>2025</v>
      </c>
      <c r="M17" s="10">
        <v>2026</v>
      </c>
      <c r="N17" s="10">
        <v>2027</v>
      </c>
    </row>
    <row r="18" spans="1:14" x14ac:dyDescent="0.3">
      <c r="A18" s="2">
        <v>45657</v>
      </c>
      <c r="B18" s="7">
        <v>138590.99220000001</v>
      </c>
      <c r="C18" s="7">
        <v>24893.452700000002</v>
      </c>
      <c r="D18" s="7">
        <v>37286.605499999998</v>
      </c>
      <c r="E18" s="7">
        <v>36982.986299999997</v>
      </c>
      <c r="F18" s="7">
        <v>14311.509099999999</v>
      </c>
      <c r="G18" s="7">
        <v>-11026.484200000001</v>
      </c>
      <c r="H18" s="34">
        <v>14799.848400000001</v>
      </c>
      <c r="I18" s="35">
        <v>2.9000000000000001E-2</v>
      </c>
      <c r="J18" s="35">
        <v>2.9000000000000001E-2</v>
      </c>
      <c r="K18" s="35">
        <v>3.1E-2</v>
      </c>
      <c r="L18" s="35">
        <v>1.7999999999999999E-2</v>
      </c>
      <c r="M18" s="6">
        <v>0.02</v>
      </c>
      <c r="N18" s="6">
        <v>0.02</v>
      </c>
    </row>
    <row r="19" spans="1:14" x14ac:dyDescent="0.3">
      <c r="A19" s="2" t="s">
        <v>25</v>
      </c>
      <c r="B19" s="1">
        <v>0.1067</v>
      </c>
      <c r="C19" s="7">
        <v>6.2899999999999998E-2</v>
      </c>
      <c r="D19" s="7">
        <v>2.9499999999999998E-2</v>
      </c>
      <c r="E19" s="7">
        <v>3.7499999999999999E-2</v>
      </c>
      <c r="F19" s="7">
        <v>4.3099999999999999E-2</v>
      </c>
      <c r="G19" s="7">
        <v>4.4999999999999998E-2</v>
      </c>
      <c r="H19" s="34">
        <v>0.10100000000000001</v>
      </c>
      <c r="I19" s="35">
        <v>5.8000000000000003E-2</v>
      </c>
      <c r="J19" s="35">
        <v>4.5999999999999999E-2</v>
      </c>
      <c r="K19" s="35">
        <v>4.5999999999999999E-2</v>
      </c>
      <c r="L19" s="35">
        <v>4.1000000000000002E-2</v>
      </c>
      <c r="M19" s="1">
        <v>0.04</v>
      </c>
      <c r="N19" s="1">
        <v>0.04</v>
      </c>
    </row>
    <row r="20" spans="1:14" x14ac:dyDescent="0.3">
      <c r="A20" s="2" t="s">
        <v>26</v>
      </c>
      <c r="B20" s="7">
        <v>153378.75776774</v>
      </c>
      <c r="C20" s="7">
        <v>26459.31377483</v>
      </c>
      <c r="D20" s="7">
        <v>38386.589862250003</v>
      </c>
      <c r="E20" s="7">
        <v>38369.885786250001</v>
      </c>
      <c r="F20" s="7">
        <v>14928.378242209998</v>
      </c>
      <c r="G20" s="7">
        <v>-11522.630988999999</v>
      </c>
      <c r="H20" s="7">
        <v>16294.7340884</v>
      </c>
      <c r="I20" s="6">
        <v>8.8681999999999928E-2</v>
      </c>
      <c r="J20" s="6">
        <v>7.6333999999999902E-2</v>
      </c>
      <c r="K20" s="6">
        <v>7.8425999999999885E-2</v>
      </c>
      <c r="L20" s="7">
        <v>5.9737999999999847E-2</v>
      </c>
      <c r="M20" s="7">
        <v>6.0799999999999965E-2</v>
      </c>
      <c r="N20" s="7">
        <v>6.0799999999999965E-2</v>
      </c>
    </row>
    <row r="21" spans="1:14" x14ac:dyDescent="0.3">
      <c r="A21" t="s">
        <v>24</v>
      </c>
      <c r="C21" s="4">
        <v>3.1809353389988138E-2</v>
      </c>
      <c r="D21" s="4">
        <v>1.4830488883974091E-2</v>
      </c>
      <c r="E21" s="4">
        <v>0.16663412511575504</v>
      </c>
      <c r="F21" s="4">
        <v>0.12933977594318002</v>
      </c>
      <c r="G21" s="4">
        <v>8.1369435426573933E-2</v>
      </c>
      <c r="H21" s="4">
        <v>0.33636271799914441</v>
      </c>
      <c r="I21" s="4">
        <v>8.8681999999999928E-2</v>
      </c>
      <c r="J21" s="4">
        <v>7.6333999999999902E-2</v>
      </c>
      <c r="K21" s="4">
        <v>7.8425999999999885E-2</v>
      </c>
      <c r="L21" s="4">
        <v>5.9737999999999847E-2</v>
      </c>
      <c r="M21" s="4">
        <v>6.0799999999999965E-2</v>
      </c>
      <c r="N21" s="4">
        <v>6.0799999999999965E-2</v>
      </c>
    </row>
    <row r="22" spans="1:14" x14ac:dyDescent="0.3">
      <c r="A22" s="2" t="s">
        <v>27</v>
      </c>
      <c r="C22" s="4">
        <v>1.2021987289877291E-6</v>
      </c>
      <c r="D22" s="4">
        <v>3.8634556852258018E-7</v>
      </c>
      <c r="E22" s="4">
        <v>4.3428360992273012E-6</v>
      </c>
      <c r="F22" s="4">
        <v>8.6640205549904765E-6</v>
      </c>
      <c r="G22" s="4">
        <v>-7.0617062634612451E-6</v>
      </c>
      <c r="H22" s="4">
        <v>2.064241835272393E-5</v>
      </c>
      <c r="I22" s="11">
        <v>1</v>
      </c>
      <c r="J22" s="12">
        <v>1</v>
      </c>
      <c r="K22" s="12">
        <v>1</v>
      </c>
      <c r="L22" s="12">
        <v>1</v>
      </c>
      <c r="M22" s="12">
        <v>1</v>
      </c>
      <c r="N22" s="12">
        <v>1</v>
      </c>
    </row>
    <row r="24" spans="1:14" x14ac:dyDescent="0.3">
      <c r="A24" s="9"/>
      <c r="B24" s="10">
        <v>2015</v>
      </c>
      <c r="C24" s="10">
        <v>2016</v>
      </c>
      <c r="D24" s="10">
        <v>2017</v>
      </c>
      <c r="E24" s="10">
        <v>2018</v>
      </c>
      <c r="F24" s="10">
        <v>2019</v>
      </c>
      <c r="G24" s="10">
        <v>2020</v>
      </c>
      <c r="H24" s="10">
        <v>2021</v>
      </c>
      <c r="I24" s="10">
        <v>2022</v>
      </c>
      <c r="J24" s="10">
        <v>2023</v>
      </c>
      <c r="K24" s="10">
        <v>2024</v>
      </c>
      <c r="L24" s="10">
        <v>2025</v>
      </c>
      <c r="M24" s="10">
        <v>2026</v>
      </c>
      <c r="N24" s="10">
        <v>2027</v>
      </c>
    </row>
    <row r="25" spans="1:14" x14ac:dyDescent="0.3">
      <c r="A25" t="s">
        <v>19</v>
      </c>
      <c r="B25">
        <v>51357.85</v>
      </c>
      <c r="C25">
        <v>52991.51</v>
      </c>
      <c r="D25" s="5">
        <v>53777.4</v>
      </c>
      <c r="E25" s="5">
        <v>62738.55</v>
      </c>
      <c r="F25" s="5">
        <v>70853.14</v>
      </c>
      <c r="G25" s="5">
        <v>76618.42</v>
      </c>
      <c r="H25" s="5">
        <v>102390</v>
      </c>
      <c r="I25" s="5">
        <v>123446</v>
      </c>
      <c r="J25" s="30">
        <v>130631.77</v>
      </c>
      <c r="K25" s="30">
        <v>138166</v>
      </c>
      <c r="L25" s="30">
        <v>158907</v>
      </c>
      <c r="M25" s="5">
        <v>166866</v>
      </c>
      <c r="N25" s="5">
        <v>177011.4528</v>
      </c>
    </row>
    <row r="26" spans="1:14" x14ac:dyDescent="0.3">
      <c r="A26" t="s">
        <v>0</v>
      </c>
      <c r="B26">
        <v>1521.31</v>
      </c>
      <c r="C26">
        <v>6319.56</v>
      </c>
      <c r="D26" s="5">
        <v>7280.64</v>
      </c>
      <c r="E26" s="5">
        <v>9810.34</v>
      </c>
      <c r="F26" s="5">
        <v>8800.7000000000007</v>
      </c>
      <c r="G26" s="5">
        <v>10690.06</v>
      </c>
      <c r="H26" s="5">
        <v>23594</v>
      </c>
      <c r="I26" s="5">
        <v>25773.51</v>
      </c>
      <c r="J26" s="30">
        <v>21324.34</v>
      </c>
      <c r="K26" s="30">
        <v>25291.3</v>
      </c>
      <c r="L26" s="30">
        <v>28054</v>
      </c>
      <c r="M26" s="5">
        <v>30744</v>
      </c>
      <c r="N26" s="5">
        <v>32531.815966467992</v>
      </c>
    </row>
    <row r="27" spans="1:14" x14ac:dyDescent="0.3">
      <c r="A27" t="s">
        <v>20</v>
      </c>
      <c r="B27" s="4">
        <v>2.9621761814406171E-2</v>
      </c>
      <c r="C27" s="4">
        <v>0.1192560846067606</v>
      </c>
      <c r="D27" s="4">
        <v>0.13538475270280825</v>
      </c>
      <c r="E27" s="4">
        <v>0.15636861228064722</v>
      </c>
      <c r="F27" s="4">
        <v>0.12421044430776111</v>
      </c>
      <c r="G27" s="4">
        <v>0.13952336787942116</v>
      </c>
      <c r="H27" s="4">
        <v>0.23043265943939839</v>
      </c>
      <c r="I27" s="4">
        <v>0.2087836786935178</v>
      </c>
      <c r="J27" s="4">
        <v>0.19378367869351781</v>
      </c>
      <c r="K27" s="4">
        <v>0.1837836786935178</v>
      </c>
      <c r="L27" s="4">
        <v>0.1837836786935178</v>
      </c>
      <c r="M27" s="4">
        <v>0.1837836786935178</v>
      </c>
      <c r="N27" s="4">
        <v>0.1837836786935178</v>
      </c>
    </row>
    <row r="28" spans="1:14" x14ac:dyDescent="0.3">
      <c r="A28" t="s">
        <v>21</v>
      </c>
      <c r="B28">
        <v>11322.26</v>
      </c>
      <c r="C28">
        <v>11803.92</v>
      </c>
      <c r="D28" s="5">
        <v>13642.8</v>
      </c>
      <c r="E28" s="5">
        <v>17850.25</v>
      </c>
      <c r="F28" s="5">
        <v>18979.349999999999</v>
      </c>
      <c r="G28" s="5">
        <v>19022.66</v>
      </c>
      <c r="H28" s="5">
        <v>31545</v>
      </c>
      <c r="I28" s="5">
        <v>36387.17</v>
      </c>
      <c r="J28" s="30">
        <v>32032.37</v>
      </c>
      <c r="K28" s="30">
        <v>37339</v>
      </c>
      <c r="L28" s="30">
        <v>41538</v>
      </c>
      <c r="M28" s="5">
        <v>44697</v>
      </c>
      <c r="N28" s="5">
        <v>47414.577600000004</v>
      </c>
    </row>
    <row r="29" spans="1:14" x14ac:dyDescent="0.3">
      <c r="A29" t="s">
        <v>22</v>
      </c>
      <c r="B29" s="4">
        <v>0.22045821622205758</v>
      </c>
      <c r="C29" s="4">
        <v>0.2227511539112586</v>
      </c>
      <c r="D29" s="4">
        <v>0.25369021187338919</v>
      </c>
      <c r="E29" s="4">
        <v>0.28451805150103088</v>
      </c>
      <c r="F29" s="4">
        <v>0.2678688622691951</v>
      </c>
      <c r="G29" s="4">
        <v>0.24827789453241139</v>
      </c>
      <c r="H29" s="4">
        <v>0.30808672721945501</v>
      </c>
      <c r="I29" s="4">
        <v>0.29476183918474474</v>
      </c>
      <c r="J29" s="4">
        <v>0.24521117642362189</v>
      </c>
      <c r="K29" s="4">
        <v>0.27024738358206796</v>
      </c>
      <c r="L29" s="4">
        <v>0.26139817629179329</v>
      </c>
      <c r="M29" s="13">
        <v>0.26786163748157205</v>
      </c>
      <c r="N29" s="13">
        <v>0.26786163748157205</v>
      </c>
    </row>
    <row r="30" spans="1:14" x14ac:dyDescent="0.3">
      <c r="A30" t="s">
        <v>1</v>
      </c>
      <c r="B30" s="5">
        <v>9800.9500000000007</v>
      </c>
      <c r="C30" s="5">
        <v>5484.36</v>
      </c>
      <c r="D30" s="5">
        <v>6362.1599999999989</v>
      </c>
      <c r="E30" s="5">
        <v>8039.91</v>
      </c>
      <c r="F30" s="5">
        <v>10178.649999999998</v>
      </c>
      <c r="G30" s="5">
        <v>8332.6</v>
      </c>
      <c r="H30" s="5">
        <v>7951</v>
      </c>
      <c r="I30" s="5">
        <v>10613.66</v>
      </c>
      <c r="J30" s="5">
        <v>10708.029999999999</v>
      </c>
      <c r="K30" s="5">
        <v>12047.7</v>
      </c>
      <c r="L30" s="5">
        <v>13484</v>
      </c>
      <c r="M30" s="5">
        <v>13953</v>
      </c>
      <c r="N30" s="5">
        <v>14882.761633532013</v>
      </c>
    </row>
    <row r="31" spans="1:14" x14ac:dyDescent="0.3">
      <c r="A31" t="s">
        <v>23</v>
      </c>
      <c r="B31" s="4">
        <v>0.19083645440765143</v>
      </c>
      <c r="C31" s="4">
        <v>0.10349506930449802</v>
      </c>
      <c r="D31" s="4">
        <v>0.11830545917058093</v>
      </c>
      <c r="E31" s="4">
        <v>0.12814943922038363</v>
      </c>
      <c r="F31" s="4">
        <v>0.143658417961434</v>
      </c>
      <c r="G31" s="4">
        <v>0.10875452665299024</v>
      </c>
      <c r="H31" s="4">
        <v>7.7654067780056651E-2</v>
      </c>
      <c r="I31" s="4">
        <v>8.5978160491226932E-2</v>
      </c>
      <c r="J31" s="4">
        <v>8.1971100904473682E-2</v>
      </c>
      <c r="K31" s="4">
        <v>8.7197284425980348E-2</v>
      </c>
      <c r="L31" s="4">
        <v>8.4854663419484347E-2</v>
      </c>
      <c r="M31" s="4">
        <v>8.3617992880514899E-2</v>
      </c>
      <c r="N31" s="4">
        <v>8.4077958788054269E-2</v>
      </c>
    </row>
    <row r="32" spans="1:14" x14ac:dyDescent="0.3">
      <c r="A32" t="s">
        <v>29</v>
      </c>
      <c r="B32" s="1">
        <v>-0.25</v>
      </c>
      <c r="C32" s="1">
        <v>-0.25</v>
      </c>
      <c r="D32" s="1">
        <v>-0.25</v>
      </c>
      <c r="E32" s="1">
        <v>-0.25</v>
      </c>
      <c r="F32" s="1">
        <v>-0.25</v>
      </c>
      <c r="G32" s="1">
        <v>-0.25</v>
      </c>
      <c r="H32" s="1">
        <v>-0.25</v>
      </c>
      <c r="I32" s="1">
        <v>-0.25</v>
      </c>
      <c r="J32" s="1">
        <v>-0.25</v>
      </c>
      <c r="K32" s="1">
        <v>-0.24</v>
      </c>
      <c r="L32" s="1">
        <v>-0.24</v>
      </c>
      <c r="M32" s="1">
        <v>-0.24</v>
      </c>
      <c r="N32" s="1">
        <v>-0.24</v>
      </c>
    </row>
    <row r="33" spans="1:15" x14ac:dyDescent="0.3">
      <c r="A33" t="s">
        <v>30</v>
      </c>
      <c r="B33" s="14">
        <v>1140.9825000000001</v>
      </c>
      <c r="C33" s="14">
        <v>4739.67</v>
      </c>
      <c r="D33" s="14">
        <v>5460.4800000000005</v>
      </c>
      <c r="E33" s="14">
        <v>7357.7550000000001</v>
      </c>
      <c r="F33" s="14">
        <v>6600.5250000000005</v>
      </c>
      <c r="G33" s="14">
        <v>8017.5450000000001</v>
      </c>
      <c r="H33" s="14">
        <v>17695.5</v>
      </c>
      <c r="I33" s="14">
        <v>19330.1325</v>
      </c>
      <c r="J33" s="14">
        <v>15993.255000000001</v>
      </c>
      <c r="K33" s="14">
        <v>19221.387999999999</v>
      </c>
      <c r="L33" s="14">
        <v>21321.040000000001</v>
      </c>
      <c r="M33" s="14">
        <v>23365.439999999999</v>
      </c>
      <c r="N33" s="14">
        <v>24724.180134515675</v>
      </c>
    </row>
    <row r="34" spans="1:15" x14ac:dyDescent="0.3">
      <c r="A34" t="s">
        <v>55</v>
      </c>
      <c r="B34" s="14">
        <v>-851.73</v>
      </c>
      <c r="C34" s="14">
        <v>3046.17</v>
      </c>
      <c r="D34" s="14">
        <v>3907.17</v>
      </c>
      <c r="E34" s="14">
        <v>5924.41</v>
      </c>
      <c r="F34" s="14">
        <v>5361.42</v>
      </c>
      <c r="G34" s="14">
        <v>3877</v>
      </c>
      <c r="H34" s="14">
        <v>15688</v>
      </c>
      <c r="I34" s="14">
        <v>18769.080000000002</v>
      </c>
      <c r="J34" s="31">
        <v>13729.57</v>
      </c>
      <c r="K34" s="31">
        <v>14944</v>
      </c>
      <c r="L34" s="31">
        <v>16739</v>
      </c>
      <c r="M34" s="14">
        <v>18543</v>
      </c>
      <c r="N34" s="14">
        <v>20356.317072000002</v>
      </c>
    </row>
    <row r="35" spans="1:15" x14ac:dyDescent="0.3">
      <c r="A35" t="s">
        <v>56</v>
      </c>
      <c r="B35" s="4">
        <v>-1.6584222275659904E-2</v>
      </c>
      <c r="C35" s="4">
        <v>5.7484113964670944E-2</v>
      </c>
      <c r="D35" s="4">
        <v>7.2654497986142874E-2</v>
      </c>
      <c r="E35" s="4">
        <v>9.4430139045291919E-2</v>
      </c>
      <c r="F35" s="4">
        <v>7.566947632807805E-2</v>
      </c>
      <c r="G35" s="4">
        <v>5.0601408904020734E-2</v>
      </c>
      <c r="H35" s="4">
        <v>0.15321808770387732</v>
      </c>
      <c r="I35" s="4">
        <v>0.15204283654391396</v>
      </c>
      <c r="J35" s="4">
        <v>0.10510130881637751</v>
      </c>
      <c r="K35" s="4">
        <v>0.115</v>
      </c>
      <c r="L35" s="4">
        <v>0.115</v>
      </c>
      <c r="M35" s="4">
        <v>0.115</v>
      </c>
      <c r="N35" s="4">
        <v>0.115</v>
      </c>
    </row>
    <row r="36" spans="1:15" x14ac:dyDescent="0.3">
      <c r="A36" t="s">
        <v>2</v>
      </c>
      <c r="B36" s="14">
        <v>-2054.3139999999999</v>
      </c>
      <c r="C36" s="14">
        <v>-2119.6604000000002</v>
      </c>
      <c r="D36" s="14">
        <v>-2151.096</v>
      </c>
      <c r="E36" s="14">
        <v>-2509.5420000000004</v>
      </c>
      <c r="F36" s="14">
        <v>-2834.1255999999998</v>
      </c>
      <c r="G36" s="14">
        <v>-3064.7368000000001</v>
      </c>
      <c r="H36" s="14">
        <v>-4095.6</v>
      </c>
      <c r="I36" s="14">
        <v>-4937.84</v>
      </c>
      <c r="J36" s="14">
        <v>-5225.2708000000002</v>
      </c>
      <c r="K36" s="14">
        <v>-5526.64</v>
      </c>
      <c r="L36" s="14">
        <v>-6356.28</v>
      </c>
      <c r="M36" s="14">
        <v>-6674.64</v>
      </c>
      <c r="N36" s="14">
        <v>-7080.4581120000003</v>
      </c>
    </row>
    <row r="37" spans="1:15" ht="15" thickBot="1" x14ac:dyDescent="0.35">
      <c r="A37" s="15" t="s">
        <v>4</v>
      </c>
      <c r="B37" s="16">
        <v>3593.3985000000007</v>
      </c>
      <c r="C37" s="16">
        <v>4298.909599999999</v>
      </c>
      <c r="D37" s="16">
        <v>6393.1740000000009</v>
      </c>
      <c r="E37" s="16">
        <v>9188.643</v>
      </c>
      <c r="F37" s="16">
        <v>10165.609399999999</v>
      </c>
      <c r="G37" s="16">
        <v>9613.4081999999999</v>
      </c>
      <c r="H37" s="16">
        <v>16932.72</v>
      </c>
      <c r="I37" s="16">
        <v>18364.202499999999</v>
      </c>
      <c r="J37" s="16">
        <v>12722.204199999998</v>
      </c>
      <c r="K37" s="16">
        <v>14804.448</v>
      </c>
      <c r="L37" s="16">
        <v>9626.760000000002</v>
      </c>
      <c r="M37" s="16">
        <v>11196.800000000003</v>
      </c>
      <c r="N37" s="16">
        <v>14825.33837604769</v>
      </c>
      <c r="O37" s="16">
        <v>175939.03197875712</v>
      </c>
    </row>
    <row r="38" spans="1:15" ht="15" thickTop="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5" x14ac:dyDescent="0.3">
      <c r="A39" t="s">
        <v>3</v>
      </c>
      <c r="B39">
        <v>-5294.22</v>
      </c>
      <c r="C39">
        <v>-3805.46</v>
      </c>
      <c r="D39">
        <v>-3278.37</v>
      </c>
      <c r="E39">
        <v>-3699.48</v>
      </c>
      <c r="F39">
        <v>-3779.44</v>
      </c>
      <c r="G39">
        <v>-3672</v>
      </c>
      <c r="H39" s="54">
        <v>-4618.18</v>
      </c>
      <c r="I39" s="53">
        <v>-6641.75</v>
      </c>
      <c r="J39" s="53">
        <v>-8753.81</v>
      </c>
      <c r="K39" s="136">
        <v>-10938</v>
      </c>
      <c r="L39" s="8">
        <v>-18822</v>
      </c>
      <c r="M39" s="8">
        <v>-19447</v>
      </c>
      <c r="N39" s="8">
        <v>-17701.145280000001</v>
      </c>
    </row>
    <row r="40" spans="1:15" x14ac:dyDescent="0.3">
      <c r="A40" t="s">
        <v>28</v>
      </c>
      <c r="B40" s="4">
        <v>-0.10308492275280216</v>
      </c>
      <c r="C40" s="4">
        <v>-7.1812635646729073E-2</v>
      </c>
      <c r="D40" s="4">
        <v>-6.0961853864262679E-2</v>
      </c>
      <c r="E40" s="4">
        <v>-5.89666162192145E-2</v>
      </c>
      <c r="F40" s="4">
        <v>-5.3341884354031456E-2</v>
      </c>
      <c r="G40" s="4">
        <v>-4.7925812095838051E-2</v>
      </c>
      <c r="H40" s="4">
        <v>-4.510381873229808E-2</v>
      </c>
      <c r="I40" s="4">
        <v>-5.3802877371482268E-2</v>
      </c>
      <c r="J40" s="4">
        <v>-6.7011340350054197E-2</v>
      </c>
      <c r="K40" s="4">
        <v>-7.916564132999436E-2</v>
      </c>
      <c r="L40" s="1">
        <v>-0.11844663859993582</v>
      </c>
      <c r="M40" s="1">
        <v>-0.11654261503242122</v>
      </c>
      <c r="N40" s="1">
        <v>-0.1</v>
      </c>
    </row>
    <row r="42" spans="1:15" x14ac:dyDescent="0.3">
      <c r="A42" t="s">
        <v>4</v>
      </c>
      <c r="B42">
        <v>3875.1</v>
      </c>
      <c r="C42">
        <v>3414.98</v>
      </c>
      <c r="D42">
        <v>3131.8</v>
      </c>
      <c r="E42">
        <v>5798.58</v>
      </c>
      <c r="F42">
        <v>7840.38</v>
      </c>
      <c r="G42">
        <v>10543</v>
      </c>
      <c r="H42" s="30">
        <v>15220</v>
      </c>
      <c r="I42" s="30">
        <v>21728</v>
      </c>
      <c r="J42" s="30">
        <v>10626.16</v>
      </c>
      <c r="K42" s="30">
        <v>12342</v>
      </c>
      <c r="L42" s="30">
        <v>9429</v>
      </c>
      <c r="M42" s="33">
        <v>13338</v>
      </c>
      <c r="N42" s="33">
        <v>18333.933696000004</v>
      </c>
    </row>
    <row r="43" spans="1:15" x14ac:dyDescent="0.3">
      <c r="A43" t="s">
        <v>52</v>
      </c>
      <c r="B43">
        <v>49828</v>
      </c>
      <c r="C43">
        <v>53350</v>
      </c>
      <c r="D43">
        <v>67784</v>
      </c>
      <c r="E43">
        <v>81677</v>
      </c>
      <c r="F43">
        <v>101000</v>
      </c>
      <c r="G43">
        <v>99143</v>
      </c>
      <c r="H43" s="40" t="e">
        <v>#NAME?</v>
      </c>
      <c r="I43" s="40" t="e">
        <v>#NAME?</v>
      </c>
      <c r="J43" s="40" t="e">
        <v>#NAME?</v>
      </c>
      <c r="K43" s="40" t="e">
        <v>#NAME?</v>
      </c>
      <c r="L43" s="40" t="e">
        <v>#NAME?</v>
      </c>
      <c r="M43" s="40" t="e">
        <v>#NAME?</v>
      </c>
      <c r="N43" s="40" t="e">
        <v>#NAME?</v>
      </c>
    </row>
    <row r="44" spans="1:15" x14ac:dyDescent="0.3">
      <c r="A44" t="s">
        <v>53</v>
      </c>
      <c r="B44" s="4">
        <v>7.7769527173476752E-2</v>
      </c>
      <c r="C44" s="4">
        <v>6.4010871602624184E-2</v>
      </c>
      <c r="D44" s="4">
        <v>4.6202643691726664E-2</v>
      </c>
      <c r="E44" s="4">
        <v>7.0994037489134021E-2</v>
      </c>
      <c r="F44" s="4">
        <v>7.7627524752475252E-2</v>
      </c>
      <c r="G44" s="4">
        <v>0.10634134532947359</v>
      </c>
      <c r="H44" s="4" t="e">
        <v>#NAME?</v>
      </c>
      <c r="I44" s="4" t="e">
        <v>#NAME?</v>
      </c>
      <c r="J44" s="4" t="e">
        <v>#NAME?</v>
      </c>
      <c r="K44" s="4" t="e">
        <v>#NAME?</v>
      </c>
      <c r="L44" s="4" t="e">
        <v>#NAME?</v>
      </c>
      <c r="M44" s="4" t="e">
        <v>#NAME?</v>
      </c>
      <c r="N44" s="4" t="e">
        <v>#NAME?</v>
      </c>
    </row>
    <row r="45" spans="1:15" x14ac:dyDescent="0.3">
      <c r="B45" s="4"/>
      <c r="C45" s="4"/>
      <c r="D45" s="4"/>
      <c r="E45" s="4"/>
      <c r="F45" s="4"/>
      <c r="G45" s="4"/>
      <c r="H45" s="4"/>
      <c r="I45" s="4"/>
    </row>
    <row r="46" spans="1:15" x14ac:dyDescent="0.3">
      <c r="A46" s="36"/>
      <c r="B46" s="36">
        <v>2021</v>
      </c>
      <c r="C46" s="36">
        <v>2022</v>
      </c>
      <c r="D46" s="36">
        <v>2023</v>
      </c>
      <c r="I46" s="17"/>
    </row>
    <row r="47" spans="1:15" x14ac:dyDescent="0.3">
      <c r="A47" t="s">
        <v>5</v>
      </c>
      <c r="B47" s="6">
        <v>4.4999999999999998E-2</v>
      </c>
    </row>
    <row r="48" spans="1:15" x14ac:dyDescent="0.3">
      <c r="A48" t="s">
        <v>6</v>
      </c>
      <c r="B48" s="6">
        <v>0.13305594999999998</v>
      </c>
      <c r="C48" s="6">
        <v>0.13305594999999998</v>
      </c>
      <c r="D48" s="6">
        <v>0.13305594999999998</v>
      </c>
      <c r="E48" s="6">
        <v>0.13305594999999998</v>
      </c>
    </row>
    <row r="49" spans="1:14" x14ac:dyDescent="0.3">
      <c r="A49" t="s">
        <v>32</v>
      </c>
      <c r="B49" s="39" t="e">
        <v>#NAME?</v>
      </c>
      <c r="C49" s="52">
        <v>7.2055949999999994E-2</v>
      </c>
    </row>
    <row r="50" spans="1:14" x14ac:dyDescent="0.3">
      <c r="A50" t="s">
        <v>31</v>
      </c>
      <c r="B50" s="6">
        <v>6.0999999999999999E-2</v>
      </c>
    </row>
    <row r="51" spans="1:14" x14ac:dyDescent="0.3">
      <c r="C51" s="3"/>
    </row>
    <row r="52" spans="1:14" x14ac:dyDescent="0.3">
      <c r="A52" s="22" t="s">
        <v>7</v>
      </c>
      <c r="B52" s="26"/>
      <c r="C52" s="26"/>
      <c r="D52" s="26">
        <v>134156.84139981569</v>
      </c>
      <c r="E52" s="26">
        <v>142380.44738126747</v>
      </c>
    </row>
    <row r="54" spans="1:14" x14ac:dyDescent="0.3">
      <c r="A54" t="s">
        <v>10</v>
      </c>
      <c r="B54" s="75" t="e">
        <v>#NAME?</v>
      </c>
      <c r="C54" s="2">
        <v>45805</v>
      </c>
      <c r="H54" s="18" t="e">
        <v>#NAME?</v>
      </c>
      <c r="I54" s="18">
        <v>18364.202499999999</v>
      </c>
      <c r="J54" s="18">
        <v>12722.204199999998</v>
      </c>
      <c r="K54" s="18">
        <v>14804.448</v>
      </c>
      <c r="L54" s="18">
        <v>9626.760000000002</v>
      </c>
      <c r="M54" s="18">
        <v>14825.33837604769</v>
      </c>
      <c r="N54" s="18">
        <v>175939.03197875712</v>
      </c>
    </row>
    <row r="55" spans="1:14" x14ac:dyDescent="0.3">
      <c r="A55" t="s">
        <v>33</v>
      </c>
      <c r="B55" s="6" t="e">
        <v>#VALUE!</v>
      </c>
    </row>
    <row r="56" spans="1:14" ht="15" thickBot="1" x14ac:dyDescent="0.35">
      <c r="A56" t="s">
        <v>25</v>
      </c>
      <c r="B56" s="6">
        <v>0.04</v>
      </c>
    </row>
    <row r="57" spans="1:14" ht="15" thickBot="1" x14ac:dyDescent="0.35">
      <c r="A57" s="19" t="s">
        <v>34</v>
      </c>
      <c r="B57" s="20" t="e">
        <v>#VALUE!</v>
      </c>
    </row>
    <row r="58" spans="1:14" x14ac:dyDescent="0.3">
      <c r="A58" t="s">
        <v>35</v>
      </c>
      <c r="B58" s="6" t="e">
        <v>#VALUE!</v>
      </c>
    </row>
    <row r="60" spans="1:14" x14ac:dyDescent="0.3">
      <c r="A60" t="s">
        <v>36</v>
      </c>
      <c r="B60" s="38"/>
      <c r="C60" s="38">
        <v>5.5</v>
      </c>
      <c r="D60" s="38">
        <v>5</v>
      </c>
      <c r="E60" s="38">
        <v>5.5</v>
      </c>
      <c r="F60" t="s">
        <v>37</v>
      </c>
      <c r="G60">
        <v>7</v>
      </c>
    </row>
    <row r="61" spans="1:14" x14ac:dyDescent="0.3">
      <c r="A61" t="s">
        <v>21</v>
      </c>
      <c r="B61" s="5"/>
      <c r="C61" s="5">
        <v>37339</v>
      </c>
      <c r="D61" s="5">
        <v>41538</v>
      </c>
      <c r="E61" s="5">
        <v>44697</v>
      </c>
      <c r="F61" t="s">
        <v>40</v>
      </c>
      <c r="G61" s="3">
        <v>-0.2857142857142857</v>
      </c>
    </row>
    <row r="62" spans="1:14" x14ac:dyDescent="0.3">
      <c r="A62" t="s">
        <v>38</v>
      </c>
      <c r="B62" s="14"/>
      <c r="C62" s="14">
        <v>205364.5</v>
      </c>
      <c r="D62" s="14">
        <v>207690</v>
      </c>
      <c r="E62" s="14">
        <v>245833.5</v>
      </c>
    </row>
    <row r="63" spans="1:14" x14ac:dyDescent="0.3">
      <c r="A63" t="s">
        <v>54</v>
      </c>
      <c r="B63" s="32"/>
      <c r="C63" s="32">
        <v>1.46</v>
      </c>
      <c r="D63" s="37">
        <v>1.71</v>
      </c>
      <c r="E63" s="37">
        <v>1.59</v>
      </c>
    </row>
    <row r="64" spans="1:14" x14ac:dyDescent="0.3">
      <c r="A64" t="s">
        <v>51</v>
      </c>
      <c r="B64" s="33"/>
      <c r="C64" s="33">
        <v>53125.268199999999</v>
      </c>
      <c r="D64" s="33">
        <v>54775.352699999996</v>
      </c>
      <c r="E64" s="33">
        <v>59369.01</v>
      </c>
    </row>
    <row r="65" spans="1:7" x14ac:dyDescent="0.3">
      <c r="A65" s="22" t="s">
        <v>39</v>
      </c>
      <c r="B65" s="23"/>
      <c r="C65" s="23">
        <v>152239.23180000001</v>
      </c>
      <c r="D65" s="23">
        <v>152914.64730000001</v>
      </c>
      <c r="E65" s="23">
        <v>186464.49</v>
      </c>
    </row>
    <row r="66" spans="1:7" x14ac:dyDescent="0.3">
      <c r="B66" s="8"/>
    </row>
    <row r="67" spans="1:7" x14ac:dyDescent="0.3">
      <c r="B67" s="40"/>
      <c r="C67" s="40"/>
      <c r="D67" s="40"/>
      <c r="E67" s="40"/>
    </row>
    <row r="68" spans="1:7" x14ac:dyDescent="0.3">
      <c r="A68" s="21"/>
      <c r="B68" s="24"/>
    </row>
    <row r="69" spans="1:7" x14ac:dyDescent="0.3">
      <c r="A69" t="s">
        <v>43</v>
      </c>
      <c r="B69" s="53">
        <v>8.5</v>
      </c>
      <c r="C69" s="53">
        <v>9</v>
      </c>
      <c r="D69" s="53">
        <v>9</v>
      </c>
      <c r="E69" s="53">
        <v>10</v>
      </c>
      <c r="F69" t="s">
        <v>37</v>
      </c>
      <c r="G69">
        <v>12</v>
      </c>
    </row>
    <row r="70" spans="1:7" x14ac:dyDescent="0.3">
      <c r="A70" s="22" t="s">
        <v>41</v>
      </c>
      <c r="B70" s="26"/>
      <c r="C70" s="26">
        <v>134496</v>
      </c>
      <c r="D70" s="26">
        <v>150651</v>
      </c>
      <c r="E70" s="26">
        <v>185430</v>
      </c>
      <c r="F70" t="s">
        <v>40</v>
      </c>
      <c r="G70" s="3">
        <v>-0.29166666666666663</v>
      </c>
    </row>
    <row r="71" spans="1:7" x14ac:dyDescent="0.3">
      <c r="B71">
        <v>110000</v>
      </c>
      <c r="C71">
        <v>118000</v>
      </c>
    </row>
    <row r="72" spans="1:7" x14ac:dyDescent="0.3">
      <c r="A72" s="25" t="s">
        <v>44</v>
      </c>
      <c r="B72" s="4">
        <v>0.11764705882352941</v>
      </c>
    </row>
    <row r="73" spans="1:7" x14ac:dyDescent="0.3">
      <c r="A73" t="s">
        <v>31</v>
      </c>
      <c r="B73" s="1">
        <v>0.06</v>
      </c>
    </row>
    <row r="76" spans="1:7" x14ac:dyDescent="0.3">
      <c r="A76" s="55" t="s">
        <v>47</v>
      </c>
      <c r="B76" s="56" t="s">
        <v>92</v>
      </c>
      <c r="C76" s="56" t="s">
        <v>280</v>
      </c>
      <c r="D76" s="56" t="s">
        <v>48</v>
      </c>
      <c r="F76" s="56" t="s">
        <v>253</v>
      </c>
    </row>
    <row r="77" spans="1:7" x14ac:dyDescent="0.3">
      <c r="A77" s="57" t="s">
        <v>45</v>
      </c>
      <c r="B77" s="58">
        <v>134156.84139981569</v>
      </c>
      <c r="C77" s="58">
        <v>142380.44738126747</v>
      </c>
      <c r="D77" s="59" t="s">
        <v>281</v>
      </c>
      <c r="E77" s="133">
        <v>139639.24538745021</v>
      </c>
      <c r="F77" s="58">
        <v>138268.64439054159</v>
      </c>
    </row>
    <row r="78" spans="1:7" x14ac:dyDescent="0.3">
      <c r="A78" s="57" t="s">
        <v>46</v>
      </c>
      <c r="B78" s="60">
        <v>150651</v>
      </c>
      <c r="C78" s="60">
        <v>185430</v>
      </c>
      <c r="D78" s="59" t="s">
        <v>282</v>
      </c>
      <c r="E78" s="133">
        <v>173837</v>
      </c>
      <c r="F78" s="60">
        <v>168040.5</v>
      </c>
    </row>
    <row r="79" spans="1:7" x14ac:dyDescent="0.3">
      <c r="A79" s="57" t="s">
        <v>36</v>
      </c>
      <c r="B79" s="60">
        <v>152914.64730000001</v>
      </c>
      <c r="C79" s="60">
        <v>186464.49</v>
      </c>
      <c r="D79" s="59" t="s">
        <v>263</v>
      </c>
      <c r="E79" s="133">
        <v>175281.20909999998</v>
      </c>
      <c r="F79" s="60">
        <v>169689.56865</v>
      </c>
    </row>
    <row r="80" spans="1:7" x14ac:dyDescent="0.3">
      <c r="A80" s="61" t="s">
        <v>242</v>
      </c>
      <c r="B80" s="62">
        <v>162307.53750890555</v>
      </c>
      <c r="C80" s="62">
        <v>162307.53750890555</v>
      </c>
      <c r="D80" s="63" t="s">
        <v>250</v>
      </c>
      <c r="E80" s="133">
        <v>162307.53750890555</v>
      </c>
      <c r="F80" s="62">
        <v>162307.53750890555</v>
      </c>
    </row>
    <row r="81" spans="1:8" x14ac:dyDescent="0.3">
      <c r="A81" s="64" t="s">
        <v>42</v>
      </c>
      <c r="B81" s="65">
        <v>150007.5065521803</v>
      </c>
      <c r="C81" s="65">
        <v>169145.61872254324</v>
      </c>
      <c r="D81" s="66" t="s">
        <v>57</v>
      </c>
      <c r="E81" s="133">
        <v>162766.2479990889</v>
      </c>
      <c r="F81" s="65">
        <v>159576.56263736176</v>
      </c>
    </row>
    <row r="82" spans="1:8" x14ac:dyDescent="0.3">
      <c r="A82" s="57" t="s">
        <v>49</v>
      </c>
      <c r="B82" s="60">
        <v>137026.63</v>
      </c>
      <c r="C82" s="57" t="e">
        <v>#NAME?</v>
      </c>
      <c r="D82" s="57"/>
      <c r="E82" s="57"/>
      <c r="F82" s="60" t="e">
        <v>#NAME?</v>
      </c>
    </row>
    <row r="83" spans="1:8" x14ac:dyDescent="0.3">
      <c r="A83" s="57" t="s">
        <v>50</v>
      </c>
      <c r="B83" s="67">
        <f>(B81/B82)-1</f>
        <v>9.4732509674800403E-2</v>
      </c>
      <c r="C83" s="67" t="e">
        <v>#NAME?</v>
      </c>
      <c r="D83" s="67" t="e">
        <v>#NAME?</v>
      </c>
      <c r="E83" s="67"/>
      <c r="F83" s="67" t="e">
        <v>#NAME?</v>
      </c>
    </row>
    <row r="87" spans="1:8" x14ac:dyDescent="0.3">
      <c r="B87" s="25" t="s">
        <v>58</v>
      </c>
    </row>
    <row r="88" spans="1:8" x14ac:dyDescent="0.3">
      <c r="C88" s="4"/>
    </row>
    <row r="89" spans="1:8" x14ac:dyDescent="0.3">
      <c r="B89" s="89" t="s">
        <v>279</v>
      </c>
      <c r="C89" s="91">
        <v>13391.2</v>
      </c>
      <c r="D89" s="91">
        <v>15065.1</v>
      </c>
      <c r="E89" s="91">
        <v>16739</v>
      </c>
      <c r="F89" s="91">
        <v>18412.900000000001</v>
      </c>
      <c r="G89" s="91">
        <v>20086.8</v>
      </c>
    </row>
    <row r="90" spans="1:8" x14ac:dyDescent="0.3">
      <c r="B90" s="90">
        <v>7.5</v>
      </c>
      <c r="C90" s="28">
        <v>100434</v>
      </c>
      <c r="D90" s="28">
        <v>112988.25</v>
      </c>
      <c r="E90" s="28">
        <v>125542.5</v>
      </c>
      <c r="F90" s="28">
        <v>138096.75</v>
      </c>
      <c r="G90" s="28">
        <v>150651</v>
      </c>
    </row>
    <row r="91" spans="1:8" x14ac:dyDescent="0.3">
      <c r="B91" s="90">
        <v>8</v>
      </c>
      <c r="C91" s="28">
        <v>107129.60000000001</v>
      </c>
      <c r="D91" s="28">
        <v>120520.8</v>
      </c>
      <c r="E91" s="28">
        <v>133912</v>
      </c>
      <c r="F91" s="28">
        <v>147303.20000000001</v>
      </c>
      <c r="G91" s="28">
        <v>160694.39999999999</v>
      </c>
    </row>
    <row r="92" spans="1:8" ht="15" thickBot="1" x14ac:dyDescent="0.35">
      <c r="B92" s="90">
        <v>8.5</v>
      </c>
      <c r="C92" s="28">
        <v>113825.20000000001</v>
      </c>
      <c r="D92" s="28">
        <v>128053.35</v>
      </c>
      <c r="E92" s="28">
        <v>142281.5</v>
      </c>
      <c r="F92" s="28">
        <v>156509.65000000002</v>
      </c>
      <c r="G92" s="28">
        <v>170737.8</v>
      </c>
      <c r="H92" s="29"/>
    </row>
    <row r="93" spans="1:8" ht="15" thickBot="1" x14ac:dyDescent="0.35">
      <c r="A93" t="s">
        <v>60</v>
      </c>
      <c r="B93" s="90">
        <v>9</v>
      </c>
      <c r="C93" s="28">
        <v>120520.8</v>
      </c>
      <c r="D93" s="28">
        <v>135585.9</v>
      </c>
      <c r="E93" s="92">
        <v>150651</v>
      </c>
      <c r="F93" s="93">
        <v>165716.1</v>
      </c>
      <c r="G93" s="93">
        <v>180781.19999999998</v>
      </c>
    </row>
    <row r="94" spans="1:8" x14ac:dyDescent="0.3">
      <c r="B94" s="90">
        <v>9.5</v>
      </c>
      <c r="C94" s="28">
        <v>127216.40000000001</v>
      </c>
      <c r="D94" s="28">
        <v>143118.45000000001</v>
      </c>
      <c r="E94" s="93">
        <v>159020.5</v>
      </c>
      <c r="F94" s="93">
        <v>174922.55000000002</v>
      </c>
      <c r="G94" s="93">
        <v>190824.6</v>
      </c>
    </row>
    <row r="95" spans="1:8" x14ac:dyDescent="0.3">
      <c r="B95" s="90">
        <v>10</v>
      </c>
      <c r="C95" s="28">
        <v>133912</v>
      </c>
      <c r="D95" s="28">
        <v>150651</v>
      </c>
      <c r="E95" s="93">
        <v>167390</v>
      </c>
      <c r="F95" s="93">
        <v>184129</v>
      </c>
      <c r="G95" s="93">
        <v>200868</v>
      </c>
      <c r="H95" s="29"/>
    </row>
    <row r="96" spans="1:8" x14ac:dyDescent="0.3">
      <c r="A96" t="s">
        <v>59</v>
      </c>
      <c r="B96" s="90">
        <v>10.5</v>
      </c>
      <c r="C96" s="28">
        <v>140607.6</v>
      </c>
      <c r="D96" s="28">
        <v>158183.55000000002</v>
      </c>
      <c r="E96" s="93">
        <v>175759.5</v>
      </c>
      <c r="F96" s="93">
        <v>193335.45</v>
      </c>
      <c r="G96" s="93">
        <v>210911.4</v>
      </c>
    </row>
    <row r="97" spans="1:8" x14ac:dyDescent="0.3">
      <c r="B97" s="90">
        <v>11</v>
      </c>
      <c r="C97" s="28">
        <v>147303.20000000001</v>
      </c>
      <c r="D97" s="28">
        <v>165716.1</v>
      </c>
      <c r="E97" s="93">
        <v>184129</v>
      </c>
      <c r="F97" s="93">
        <v>202541.90000000002</v>
      </c>
      <c r="G97" s="93">
        <v>220954.8</v>
      </c>
    </row>
    <row r="100" spans="1:8" x14ac:dyDescent="0.3">
      <c r="B100" s="89" t="s">
        <v>278</v>
      </c>
      <c r="C100" s="91">
        <v>33230.400000000001</v>
      </c>
      <c r="D100" s="91">
        <v>39461.1</v>
      </c>
      <c r="E100" s="91">
        <v>41538</v>
      </c>
      <c r="F100" s="91">
        <v>43614.9</v>
      </c>
      <c r="G100" s="91">
        <v>45691.8</v>
      </c>
    </row>
    <row r="101" spans="1:8" x14ac:dyDescent="0.3">
      <c r="B101" s="90">
        <v>4</v>
      </c>
      <c r="C101" s="28">
        <v>73552.59</v>
      </c>
      <c r="D101" s="28">
        <v>98475.389999999985</v>
      </c>
      <c r="E101" s="94">
        <v>106782.98999999999</v>
      </c>
      <c r="F101" s="28">
        <v>115090.59</v>
      </c>
      <c r="G101" s="28">
        <v>123398.19</v>
      </c>
    </row>
    <row r="102" spans="1:8" x14ac:dyDescent="0.3">
      <c r="B102" s="90">
        <v>4.5</v>
      </c>
      <c r="C102" s="28">
        <v>90167.790000000008</v>
      </c>
      <c r="D102" s="28">
        <v>118205.93999999997</v>
      </c>
      <c r="E102" s="94">
        <v>127551.98999999999</v>
      </c>
      <c r="F102" s="28">
        <v>136898.04</v>
      </c>
      <c r="G102" s="28">
        <v>146244.09</v>
      </c>
    </row>
    <row r="103" spans="1:8" ht="15" thickBot="1" x14ac:dyDescent="0.35">
      <c r="B103" s="90">
        <v>5</v>
      </c>
      <c r="C103" s="28">
        <v>106782.98999999999</v>
      </c>
      <c r="D103" s="28">
        <v>137936.49</v>
      </c>
      <c r="E103" s="94">
        <v>148320.99</v>
      </c>
      <c r="F103" s="28">
        <v>158705.49</v>
      </c>
      <c r="G103" s="28">
        <v>169089.99</v>
      </c>
      <c r="H103" s="47"/>
    </row>
    <row r="104" spans="1:8" ht="15" thickBot="1" x14ac:dyDescent="0.35">
      <c r="A104" t="s">
        <v>60</v>
      </c>
      <c r="B104" s="90">
        <v>5.5</v>
      </c>
      <c r="C104" s="94">
        <v>123398.19</v>
      </c>
      <c r="D104" s="94">
        <v>157667.03999999998</v>
      </c>
      <c r="E104" s="92">
        <v>169089.99</v>
      </c>
      <c r="F104" s="94">
        <v>180512.94</v>
      </c>
      <c r="G104" s="94">
        <v>191935.89</v>
      </c>
      <c r="H104" s="47"/>
    </row>
    <row r="105" spans="1:8" x14ac:dyDescent="0.3">
      <c r="B105" s="90">
        <v>6</v>
      </c>
      <c r="C105" s="28">
        <v>140013.39000000001</v>
      </c>
      <c r="D105" s="28">
        <v>177397.58999999997</v>
      </c>
      <c r="E105" s="94">
        <v>189858.99</v>
      </c>
      <c r="F105" s="28">
        <v>202320.39</v>
      </c>
      <c r="G105" s="28">
        <v>214781.79000000004</v>
      </c>
      <c r="H105" s="47"/>
    </row>
    <row r="106" spans="1:8" x14ac:dyDescent="0.3">
      <c r="A106" t="s">
        <v>59</v>
      </c>
      <c r="B106" s="90">
        <v>6.5</v>
      </c>
      <c r="C106" s="28">
        <v>156628.59</v>
      </c>
      <c r="D106" s="28">
        <v>197128.13999999998</v>
      </c>
      <c r="E106" s="94">
        <v>210627.99</v>
      </c>
      <c r="F106" s="28">
        <v>224127.84000000003</v>
      </c>
      <c r="G106" s="28">
        <v>237627.69</v>
      </c>
      <c r="H106" s="47"/>
    </row>
    <row r="107" spans="1:8" x14ac:dyDescent="0.3">
      <c r="B107" s="90">
        <v>7</v>
      </c>
      <c r="C107" s="28">
        <v>173243.79</v>
      </c>
      <c r="D107" s="28">
        <v>216858.69</v>
      </c>
      <c r="E107" s="94">
        <v>231396.99</v>
      </c>
      <c r="F107" s="28">
        <v>245935.28999999998</v>
      </c>
      <c r="G107" s="28">
        <v>260473.59000000003</v>
      </c>
    </row>
    <row r="108" spans="1:8" x14ac:dyDescent="0.3">
      <c r="B108" s="90">
        <v>7.5</v>
      </c>
      <c r="C108" s="28">
        <v>189858.99</v>
      </c>
      <c r="D108" s="28">
        <v>236589.24</v>
      </c>
      <c r="E108" s="94">
        <v>252165.99</v>
      </c>
      <c r="F108" s="28">
        <v>267742.74</v>
      </c>
      <c r="G108" s="28">
        <v>283319.49</v>
      </c>
    </row>
    <row r="111" spans="1:8" x14ac:dyDescent="0.3">
      <c r="B111" s="25" t="s">
        <v>61</v>
      </c>
    </row>
    <row r="112" spans="1:8" x14ac:dyDescent="0.3">
      <c r="C112" s="41">
        <v>134156.84139981569</v>
      </c>
      <c r="E112" s="89" t="s">
        <v>65</v>
      </c>
      <c r="F112" s="89" t="s">
        <v>77</v>
      </c>
    </row>
    <row r="113" spans="2:7" x14ac:dyDescent="0.3">
      <c r="B113" s="7">
        <v>0.06</v>
      </c>
      <c r="C113" s="41">
        <v>157109.624235283</v>
      </c>
      <c r="E113" s="46">
        <v>0.06</v>
      </c>
      <c r="F113" s="41">
        <v>155823.9623621862</v>
      </c>
    </row>
    <row r="114" spans="2:7" x14ac:dyDescent="0.3">
      <c r="B114" s="7">
        <v>6.5000000000000002E-2</v>
      </c>
      <c r="C114" s="41">
        <v>146747.55026441123</v>
      </c>
      <c r="E114" s="46">
        <v>6.5000000000000002E-2</v>
      </c>
      <c r="F114" s="41">
        <v>145515.73942306588</v>
      </c>
    </row>
    <row r="115" spans="2:7" x14ac:dyDescent="0.3">
      <c r="B115" s="7">
        <v>7.0000000000000007E-2</v>
      </c>
      <c r="C115" s="41">
        <v>137608.56013457169</v>
      </c>
      <c r="E115" s="46">
        <v>7.0000000000000007E-2</v>
      </c>
      <c r="F115" s="41">
        <v>136424.66933172185</v>
      </c>
      <c r="G115" s="29"/>
    </row>
    <row r="116" spans="2:7" x14ac:dyDescent="0.3">
      <c r="B116" s="42">
        <v>7.3999999999999996E-2</v>
      </c>
      <c r="C116" s="43">
        <v>131040.63575210753</v>
      </c>
      <c r="E116" s="95">
        <v>7.3999999999999996E-2</v>
      </c>
      <c r="F116" s="96">
        <v>129891.47163745607</v>
      </c>
      <c r="G116" s="29"/>
    </row>
    <row r="117" spans="2:7" x14ac:dyDescent="0.3">
      <c r="B117" s="7">
        <v>7.4999999999999997E-2</v>
      </c>
      <c r="C117" s="41">
        <v>129490.50705145458</v>
      </c>
      <c r="E117" s="46">
        <v>7.4999999999999997E-2</v>
      </c>
      <c r="F117" s="41">
        <v>128349.57807928532</v>
      </c>
      <c r="G117" s="29"/>
    </row>
    <row r="118" spans="2:7" x14ac:dyDescent="0.3">
      <c r="B118" s="7">
        <v>0.08</v>
      </c>
      <c r="C118" s="41">
        <v>122233.3757096676</v>
      </c>
      <c r="E118" s="46">
        <v>0.08</v>
      </c>
      <c r="F118" s="41">
        <v>121131.22055820949</v>
      </c>
      <c r="G118" s="29"/>
    </row>
    <row r="119" spans="2:7" x14ac:dyDescent="0.3">
      <c r="B119" s="7">
        <v>8.5000000000000006E-2</v>
      </c>
      <c r="C119" s="41">
        <v>115708.85307558902</v>
      </c>
      <c r="E119" s="46">
        <v>8.5000000000000006E-2</v>
      </c>
      <c r="F119" s="41">
        <v>114641.9014895109</v>
      </c>
      <c r="G119" s="29"/>
    </row>
    <row r="120" spans="2:7" x14ac:dyDescent="0.3">
      <c r="B120" s="7">
        <v>0.09</v>
      </c>
      <c r="C120" s="41">
        <v>109812.85086032921</v>
      </c>
      <c r="E120">
        <v>0.09</v>
      </c>
      <c r="F120">
        <v>108778.03384831194</v>
      </c>
    </row>
    <row r="122" spans="2:7" x14ac:dyDescent="0.3">
      <c r="B122" s="88" t="s">
        <v>62</v>
      </c>
      <c r="C122" s="81"/>
      <c r="E122" s="88" t="s">
        <v>66</v>
      </c>
      <c r="F122" s="88"/>
    </row>
    <row r="123" spans="2:7" x14ac:dyDescent="0.3">
      <c r="B123" s="48" t="s">
        <v>273</v>
      </c>
      <c r="C123" s="82"/>
      <c r="E123" t="s">
        <v>67</v>
      </c>
      <c r="F123" s="44"/>
    </row>
    <row r="124" spans="2:7" x14ac:dyDescent="0.3">
      <c r="B124" s="48" t="s">
        <v>290</v>
      </c>
      <c r="C124" s="83">
        <v>114641.9014895109</v>
      </c>
      <c r="E124" t="s">
        <v>283</v>
      </c>
      <c r="F124" s="5">
        <v>108778.03384831194</v>
      </c>
    </row>
    <row r="125" spans="2:7" x14ac:dyDescent="0.3">
      <c r="B125" s="48" t="s">
        <v>289</v>
      </c>
      <c r="C125" s="83">
        <v>93738.400000000009</v>
      </c>
      <c r="E125" t="s">
        <v>285</v>
      </c>
      <c r="F125" s="14">
        <v>100434</v>
      </c>
      <c r="G125">
        <v>6</v>
      </c>
    </row>
    <row r="126" spans="2:7" x14ac:dyDescent="0.3">
      <c r="B126" s="48" t="s">
        <v>284</v>
      </c>
      <c r="C126" s="83">
        <v>98475.389999999985</v>
      </c>
      <c r="E126" t="s">
        <v>284</v>
      </c>
      <c r="F126" s="44">
        <v>98475.389999999985</v>
      </c>
      <c r="G126">
        <v>5</v>
      </c>
    </row>
    <row r="127" spans="2:7" x14ac:dyDescent="0.3">
      <c r="B127" s="48" t="s">
        <v>267</v>
      </c>
      <c r="C127" s="83">
        <v>129846.03000712444</v>
      </c>
      <c r="D127" s="4"/>
      <c r="E127" s="21" t="s">
        <v>42</v>
      </c>
      <c r="F127" s="45">
        <v>102562.47461610397</v>
      </c>
    </row>
    <row r="128" spans="2:7" x14ac:dyDescent="0.3">
      <c r="B128" s="84" t="s">
        <v>42</v>
      </c>
      <c r="C128" s="85">
        <v>109175.43037415884</v>
      </c>
    </row>
    <row r="129" spans="2:8" x14ac:dyDescent="0.3">
      <c r="B129" s="88" t="s">
        <v>63</v>
      </c>
      <c r="C129" s="81"/>
    </row>
    <row r="130" spans="2:8" x14ac:dyDescent="0.3">
      <c r="B130" s="48" t="s">
        <v>272</v>
      </c>
      <c r="C130" s="48"/>
    </row>
    <row r="131" spans="2:8" x14ac:dyDescent="0.3">
      <c r="B131" s="48" t="s">
        <v>286</v>
      </c>
      <c r="C131" s="83">
        <v>134156.84139981569</v>
      </c>
    </row>
    <row r="132" spans="2:8" x14ac:dyDescent="0.3">
      <c r="B132" s="48" t="s">
        <v>287</v>
      </c>
      <c r="C132" s="82">
        <v>150651</v>
      </c>
    </row>
    <row r="133" spans="2:8" x14ac:dyDescent="0.3">
      <c r="B133" s="48" t="s">
        <v>288</v>
      </c>
      <c r="C133" s="82">
        <v>152914.64730000001</v>
      </c>
    </row>
    <row r="134" spans="2:8" x14ac:dyDescent="0.3">
      <c r="B134" s="50" t="s">
        <v>266</v>
      </c>
      <c r="C134" s="146">
        <v>162307.53750890555</v>
      </c>
      <c r="E134" s="51"/>
      <c r="F134" s="51"/>
      <c r="G134" s="51"/>
      <c r="H134" s="51"/>
    </row>
    <row r="135" spans="2:8" x14ac:dyDescent="0.3">
      <c r="B135" s="86" t="s">
        <v>42</v>
      </c>
      <c r="C135" s="87">
        <v>150007.5065521803</v>
      </c>
      <c r="E135" s="48">
        <v>128000</v>
      </c>
      <c r="F135" s="76"/>
      <c r="G135" s="76"/>
      <c r="H135" s="49"/>
    </row>
    <row r="136" spans="2:8" x14ac:dyDescent="0.3">
      <c r="B136" s="88" t="s">
        <v>64</v>
      </c>
      <c r="C136" s="81"/>
      <c r="E136" s="48">
        <v>1.1719336449389086</v>
      </c>
      <c r="F136" s="70"/>
      <c r="G136" s="70"/>
      <c r="H136" s="49"/>
    </row>
    <row r="137" spans="2:8" x14ac:dyDescent="0.3">
      <c r="B137" s="48" t="s">
        <v>271</v>
      </c>
      <c r="C137" s="48"/>
      <c r="E137" s="48"/>
      <c r="F137" s="70"/>
      <c r="G137" s="70"/>
      <c r="H137" s="49"/>
    </row>
    <row r="138" spans="2:8" x14ac:dyDescent="0.3">
      <c r="B138" s="48" t="s">
        <v>291</v>
      </c>
      <c r="C138" s="83">
        <v>145515.73942306588</v>
      </c>
      <c r="E138" s="77"/>
      <c r="F138" s="71"/>
      <c r="G138" s="71"/>
      <c r="H138" s="51"/>
    </row>
    <row r="139" spans="2:8" x14ac:dyDescent="0.3">
      <c r="B139" s="48" t="s">
        <v>76</v>
      </c>
      <c r="C139" s="82">
        <v>167390</v>
      </c>
      <c r="E139" s="48"/>
      <c r="F139" s="70"/>
      <c r="G139" s="48"/>
      <c r="H139" s="48"/>
    </row>
    <row r="140" spans="2:8" x14ac:dyDescent="0.3">
      <c r="B140" s="48" t="s">
        <v>292</v>
      </c>
      <c r="C140" s="82">
        <v>169089.99</v>
      </c>
      <c r="E140" s="48"/>
      <c r="F140" s="78"/>
      <c r="G140" s="78"/>
      <c r="H140" s="48"/>
    </row>
    <row r="141" spans="2:8" x14ac:dyDescent="0.3">
      <c r="B141" s="48" t="s">
        <v>265</v>
      </c>
      <c r="C141" s="82">
        <v>178538.29125979613</v>
      </c>
    </row>
    <row r="142" spans="2:8" x14ac:dyDescent="0.3">
      <c r="B142" s="84" t="s">
        <v>42</v>
      </c>
      <c r="C142" s="85">
        <v>165133.50517071551</v>
      </c>
    </row>
    <row r="145" spans="2:3" x14ac:dyDescent="0.3">
      <c r="B145" s="149" t="s">
        <v>80</v>
      </c>
      <c r="C145" s="148"/>
    </row>
    <row r="146" spans="2:3" x14ac:dyDescent="0.3">
      <c r="B146" s="48" t="s">
        <v>300</v>
      </c>
      <c r="C146" s="82"/>
    </row>
    <row r="147" spans="2:3" x14ac:dyDescent="0.3">
      <c r="B147" s="48" t="s">
        <v>293</v>
      </c>
      <c r="C147" s="83">
        <f>C124</f>
        <v>114641.9014895109</v>
      </c>
    </row>
    <row r="148" spans="2:3" x14ac:dyDescent="0.3">
      <c r="B148" s="48" t="s">
        <v>294</v>
      </c>
      <c r="C148" s="83">
        <f>C125</f>
        <v>93738.400000000009</v>
      </c>
    </row>
    <row r="149" spans="2:3" x14ac:dyDescent="0.3">
      <c r="B149" s="48" t="s">
        <v>264</v>
      </c>
      <c r="C149" s="83">
        <f>C126</f>
        <v>98475.389999999985</v>
      </c>
    </row>
    <row r="150" spans="2:3" x14ac:dyDescent="0.3">
      <c r="B150" s="48" t="s">
        <v>267</v>
      </c>
      <c r="C150" s="83">
        <f>C127</f>
        <v>129846.03000712444</v>
      </c>
    </row>
    <row r="151" spans="2:3" x14ac:dyDescent="0.3">
      <c r="B151" s="84" t="s">
        <v>69</v>
      </c>
      <c r="C151" s="85">
        <f>C128</f>
        <v>109175.43037415884</v>
      </c>
    </row>
    <row r="152" spans="2:3" x14ac:dyDescent="0.3">
      <c r="B152" s="149" t="s">
        <v>295</v>
      </c>
      <c r="C152" s="148"/>
    </row>
    <row r="153" spans="2:3" x14ac:dyDescent="0.3">
      <c r="B153" s="48" t="s">
        <v>300</v>
      </c>
      <c r="C153" s="48"/>
    </row>
    <row r="154" spans="2:3" x14ac:dyDescent="0.3">
      <c r="B154" s="48" t="s">
        <v>296</v>
      </c>
      <c r="C154" s="83">
        <f>C131</f>
        <v>134156.84139981569</v>
      </c>
    </row>
    <row r="155" spans="2:3" x14ac:dyDescent="0.3">
      <c r="B155" s="48" t="s">
        <v>294</v>
      </c>
      <c r="C155" s="82">
        <f>C132</f>
        <v>150651</v>
      </c>
    </row>
    <row r="156" spans="2:3" x14ac:dyDescent="0.3">
      <c r="B156" s="48" t="s">
        <v>270</v>
      </c>
      <c r="C156" s="82">
        <f>C133</f>
        <v>152914.64730000001</v>
      </c>
    </row>
    <row r="157" spans="2:3" x14ac:dyDescent="0.3">
      <c r="B157" s="50" t="s">
        <v>266</v>
      </c>
      <c r="C157" s="146">
        <f>C134</f>
        <v>162307.53750890555</v>
      </c>
    </row>
    <row r="158" spans="2:3" x14ac:dyDescent="0.3">
      <c r="B158" s="86" t="s">
        <v>69</v>
      </c>
      <c r="C158" s="87">
        <f>C135</f>
        <v>150007.5065521803</v>
      </c>
    </row>
    <row r="159" spans="2:3" x14ac:dyDescent="0.3">
      <c r="B159" s="149" t="s">
        <v>78</v>
      </c>
      <c r="C159" s="148"/>
    </row>
    <row r="160" spans="2:3" x14ac:dyDescent="0.3">
      <c r="B160" s="48" t="s">
        <v>271</v>
      </c>
      <c r="C160" s="48"/>
    </row>
    <row r="161" spans="2:3" x14ac:dyDescent="0.3">
      <c r="B161" s="48" t="s">
        <v>297</v>
      </c>
      <c r="C161" s="83">
        <f>C138</f>
        <v>145515.73942306588</v>
      </c>
    </row>
    <row r="162" spans="2:3" x14ac:dyDescent="0.3">
      <c r="B162" s="48" t="s">
        <v>298</v>
      </c>
      <c r="C162" s="82">
        <f>C139</f>
        <v>167390</v>
      </c>
    </row>
    <row r="163" spans="2:3" x14ac:dyDescent="0.3">
      <c r="B163" s="48" t="s">
        <v>299</v>
      </c>
      <c r="C163" s="82">
        <f>C140</f>
        <v>169089.99</v>
      </c>
    </row>
    <row r="164" spans="2:3" x14ac:dyDescent="0.3">
      <c r="B164" s="48" t="s">
        <v>265</v>
      </c>
      <c r="C164" s="82">
        <f>C141</f>
        <v>178538.29125979613</v>
      </c>
    </row>
    <row r="165" spans="2:3" x14ac:dyDescent="0.3">
      <c r="B165" s="84" t="s">
        <v>69</v>
      </c>
      <c r="C165" s="85">
        <f>C142</f>
        <v>165133.50517071551</v>
      </c>
    </row>
  </sheetData>
  <pageMargins left="0.7" right="0.7" top="0.75" bottom="0.75" header="0.3" footer="0.3"/>
  <pageSetup paperSize="9" orientation="portrait" r:id="rId1"/>
  <headerFooter>
    <oddFooter>&amp;R_x000D_&amp;1#&amp;"Calibri"&amp;10&amp;K008000 [ CLASSIFICAÇÃO: PÚBLICA 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3FA6-2B01-4C64-B32B-2E52D8C9DA47}">
  <dimension ref="C4:C24"/>
  <sheetViews>
    <sheetView workbookViewId="0">
      <selection activeCell="F6" sqref="F6"/>
    </sheetView>
  </sheetViews>
  <sheetFormatPr defaultRowHeight="14.4" x14ac:dyDescent="0.3"/>
  <sheetData>
    <row r="4" spans="3:3" x14ac:dyDescent="0.3">
      <c r="C4" s="149" t="s">
        <v>80</v>
      </c>
    </row>
    <row r="5" spans="3:3" x14ac:dyDescent="0.3">
      <c r="C5" s="48" t="s">
        <v>300</v>
      </c>
    </row>
    <row r="6" spans="3:3" x14ac:dyDescent="0.3">
      <c r="C6" s="48" t="s">
        <v>293</v>
      </c>
    </row>
    <row r="7" spans="3:3" x14ac:dyDescent="0.3">
      <c r="C7" s="48" t="s">
        <v>294</v>
      </c>
    </row>
    <row r="8" spans="3:3" x14ac:dyDescent="0.3">
      <c r="C8" s="48" t="s">
        <v>264</v>
      </c>
    </row>
    <row r="9" spans="3:3" x14ac:dyDescent="0.3">
      <c r="C9" s="48" t="s">
        <v>267</v>
      </c>
    </row>
    <row r="10" spans="3:3" x14ac:dyDescent="0.3">
      <c r="C10" s="84" t="s">
        <v>69</v>
      </c>
    </row>
    <row r="11" spans="3:3" x14ac:dyDescent="0.3">
      <c r="C11" s="149" t="s">
        <v>295</v>
      </c>
    </row>
    <row r="12" spans="3:3" x14ac:dyDescent="0.3">
      <c r="C12" s="48" t="s">
        <v>300</v>
      </c>
    </row>
    <row r="13" spans="3:3" x14ac:dyDescent="0.3">
      <c r="C13" s="48" t="s">
        <v>296</v>
      </c>
    </row>
    <row r="14" spans="3:3" x14ac:dyDescent="0.3">
      <c r="C14" s="48" t="s">
        <v>294</v>
      </c>
    </row>
    <row r="15" spans="3:3" x14ac:dyDescent="0.3">
      <c r="C15" s="48" t="s">
        <v>270</v>
      </c>
    </row>
    <row r="16" spans="3:3" x14ac:dyDescent="0.3">
      <c r="C16" s="50" t="s">
        <v>266</v>
      </c>
    </row>
    <row r="17" spans="3:3" x14ac:dyDescent="0.3">
      <c r="C17" s="86" t="s">
        <v>69</v>
      </c>
    </row>
    <row r="18" spans="3:3" x14ac:dyDescent="0.3">
      <c r="C18" s="149" t="s">
        <v>78</v>
      </c>
    </row>
    <row r="19" spans="3:3" x14ac:dyDescent="0.3">
      <c r="C19" s="48" t="s">
        <v>271</v>
      </c>
    </row>
    <row r="20" spans="3:3" x14ac:dyDescent="0.3">
      <c r="C20" s="48" t="s">
        <v>297</v>
      </c>
    </row>
    <row r="21" spans="3:3" x14ac:dyDescent="0.3">
      <c r="C21" s="48" t="s">
        <v>298</v>
      </c>
    </row>
    <row r="22" spans="3:3" x14ac:dyDescent="0.3">
      <c r="C22" s="48" t="s">
        <v>299</v>
      </c>
    </row>
    <row r="23" spans="3:3" x14ac:dyDescent="0.3">
      <c r="C23" s="48" t="s">
        <v>265</v>
      </c>
    </row>
    <row r="24" spans="3:3" x14ac:dyDescent="0.3">
      <c r="C24" s="84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6181-F514-494B-A6DD-022706CCBEF4}">
  <dimension ref="A1:JD106"/>
  <sheetViews>
    <sheetView showGridLines="0" topLeftCell="A63" zoomScale="70" zoomScaleNormal="70" workbookViewId="0">
      <selection activeCell="M98" sqref="M98"/>
    </sheetView>
  </sheetViews>
  <sheetFormatPr defaultRowHeight="14.4" x14ac:dyDescent="0.3"/>
  <cols>
    <col min="2" max="2" width="23.5546875" customWidth="1"/>
    <col min="3" max="3" width="15.5546875" bestFit="1" customWidth="1"/>
    <col min="6" max="6" width="11.5546875" bestFit="1" customWidth="1"/>
    <col min="7" max="7" width="10.44140625" bestFit="1" customWidth="1"/>
    <col min="8" max="8" width="10.5546875" bestFit="1" customWidth="1"/>
    <col min="9" max="9" width="18.44140625" customWidth="1"/>
    <col min="16" max="16" width="13.77734375" bestFit="1" customWidth="1"/>
    <col min="17" max="17" width="21.77734375" bestFit="1" customWidth="1"/>
    <col min="18" max="18" width="40.44140625" customWidth="1"/>
    <col min="19" max="19" width="27.5546875" customWidth="1"/>
    <col min="20" max="20" width="14.21875" customWidth="1"/>
  </cols>
  <sheetData>
    <row r="1" spans="1:264" x14ac:dyDescent="0.3">
      <c r="A1" s="135" t="s">
        <v>260</v>
      </c>
      <c r="B1" s="25"/>
      <c r="C1" s="134" t="s">
        <v>399</v>
      </c>
      <c r="N1">
        <f>N10/5</f>
        <v>3.1459999999999999</v>
      </c>
    </row>
    <row r="2" spans="1:264" x14ac:dyDescent="0.3">
      <c r="A2" s="135" t="s">
        <v>261</v>
      </c>
      <c r="B2" s="48"/>
      <c r="C2" s="98"/>
      <c r="D2" s="48"/>
      <c r="E2" s="49"/>
      <c r="F2" s="48"/>
      <c r="G2" s="48"/>
      <c r="H2" s="49"/>
      <c r="I2" s="48"/>
      <c r="J2" s="48"/>
      <c r="K2" s="48"/>
      <c r="L2" s="142" t="str" cm="1">
        <f t="array" ref="L2">IF(ISERROR(K4),_xll.BDP($H4&amp;" Bz Equity","best_target_price")," ")</f>
        <v xml:space="preserve"> </v>
      </c>
      <c r="M2" s="143"/>
      <c r="N2" s="144"/>
    </row>
    <row r="3" spans="1:264" x14ac:dyDescent="0.3">
      <c r="B3" s="99" t="s">
        <v>93</v>
      </c>
      <c r="C3" s="100" t="s">
        <v>318</v>
      </c>
      <c r="D3" s="101" t="s">
        <v>94</v>
      </c>
      <c r="E3" s="101" t="s">
        <v>95</v>
      </c>
      <c r="F3" s="101">
        <v>45978</v>
      </c>
      <c r="G3" s="101"/>
      <c r="H3" s="101" t="s">
        <v>327</v>
      </c>
      <c r="I3" s="101" t="s">
        <v>228</v>
      </c>
      <c r="J3" s="101" t="s">
        <v>229</v>
      </c>
      <c r="K3" s="101" t="s">
        <v>230</v>
      </c>
      <c r="L3" s="101" t="s">
        <v>231</v>
      </c>
      <c r="M3" s="101" t="s">
        <v>232</v>
      </c>
      <c r="N3" s="101" t="s">
        <v>233</v>
      </c>
      <c r="O3" s="101" t="s">
        <v>234</v>
      </c>
      <c r="P3" s="101" t="s">
        <v>235</v>
      </c>
      <c r="Q3" s="101" t="s">
        <v>236</v>
      </c>
      <c r="R3" s="2"/>
      <c r="S3" s="115" t="s">
        <v>237</v>
      </c>
      <c r="T3" s="115" t="s">
        <v>238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 t="s">
        <v>318</v>
      </c>
      <c r="AK3" s="2" t="s">
        <v>94</v>
      </c>
      <c r="AL3" s="2" t="s">
        <v>95</v>
      </c>
      <c r="AM3" s="2">
        <v>45978</v>
      </c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</row>
    <row r="4" spans="1:264" x14ac:dyDescent="0.3">
      <c r="A4" t="str">
        <f>SUBSTITUTE(C4,"&lt;XBSP&gt;"," BZ Equity")</f>
        <v>PETR4 BZ Equity</v>
      </c>
      <c r="B4" s="48" t="str">
        <f>SUBSTITUTE(C4,"&lt;XBSP&gt;","")</f>
        <v>PETR4</v>
      </c>
      <c r="C4" s="48" t="s">
        <v>99</v>
      </c>
      <c r="D4" s="48" t="s">
        <v>100</v>
      </c>
      <c r="E4" s="49"/>
      <c r="F4" s="49">
        <v>9.6130000000000013</v>
      </c>
      <c r="G4" s="102">
        <v>9.6130000000000007E-2</v>
      </c>
      <c r="H4" s="102"/>
      <c r="I4" s="103" t="s">
        <v>332</v>
      </c>
      <c r="J4" s="103" t="s">
        <v>331</v>
      </c>
      <c r="K4" s="104">
        <v>63</v>
      </c>
      <c r="L4" s="167"/>
      <c r="M4" s="104">
        <f>IF(K4&lt;&gt;"",K4,L4)</f>
        <v>63</v>
      </c>
      <c r="N4" s="104">
        <v>52.79</v>
      </c>
      <c r="O4" s="105">
        <f>IFERROR(M4/N4-1,"-")</f>
        <v>0.19340784239439279</v>
      </c>
      <c r="P4" s="105">
        <f>IFERROR(G4/SUMIF($I$4:$I$88,I4,$G$4:$G$88),0)</f>
        <v>0.45059529389706571</v>
      </c>
      <c r="Q4" s="105">
        <f>IFERROR(P4*O4,0)</f>
        <v>8.7148663585698782E-2</v>
      </c>
      <c r="R4">
        <f>RANK(T4,$T$4:$T$21)</f>
        <v>17</v>
      </c>
      <c r="S4" s="48" t="s">
        <v>358</v>
      </c>
      <c r="T4" s="105">
        <f t="shared" ref="T4:T20" si="0">SUMIF($I$4:$I$88,S4,$Q$4:$Q$88)</f>
        <v>0</v>
      </c>
      <c r="AJ4" t="s">
        <v>96</v>
      </c>
      <c r="AK4" t="s">
        <v>97</v>
      </c>
      <c r="AL4" t="s">
        <v>98</v>
      </c>
      <c r="AM4">
        <v>11.843</v>
      </c>
    </row>
    <row r="5" spans="1:264" x14ac:dyDescent="0.3">
      <c r="A5" t="str">
        <f>SUBSTITUTE(C5,"&lt;XBSP&gt;"," BZ Equity")</f>
        <v>VALE3 BZ Equity</v>
      </c>
      <c r="B5" s="48" t="str">
        <f>SUBSTITUTE(C5,"&lt;XBSP&gt;","")</f>
        <v>VALE3</v>
      </c>
      <c r="C5" s="106" t="s">
        <v>96</v>
      </c>
      <c r="D5" s="106" t="s">
        <v>97</v>
      </c>
      <c r="E5" s="107"/>
      <c r="F5" s="107">
        <v>9.6020000000000021</v>
      </c>
      <c r="G5" s="108">
        <v>9.6020000000000022E-2</v>
      </c>
      <c r="H5" s="108"/>
      <c r="I5" s="109" t="s">
        <v>328</v>
      </c>
      <c r="J5" s="109" t="s">
        <v>329</v>
      </c>
      <c r="K5" s="104">
        <v>83</v>
      </c>
      <c r="L5" s="110"/>
      <c r="M5" s="110">
        <f>IF(K5&lt;&gt;"",K5,L5)</f>
        <v>83</v>
      </c>
      <c r="N5" s="104">
        <v>63</v>
      </c>
      <c r="O5" s="111">
        <f>IFERROR(M5/N5-1,"-")</f>
        <v>0.31746031746031744</v>
      </c>
      <c r="P5" s="111">
        <f>IFERROR(G5/SUMIF($I$4:$I$88,I5,$G$4:$G$88),0)</f>
        <v>0.79803856382978722</v>
      </c>
      <c r="Q5" s="111">
        <f>IFERROR(P5*O5,0)</f>
        <v>0.25334557581898004</v>
      </c>
      <c r="R5">
        <f t="shared" ref="R5:R21" si="1">RANK(T5,$T$4:$T$21)</f>
        <v>11</v>
      </c>
      <c r="S5" s="106" t="s">
        <v>330</v>
      </c>
      <c r="T5" s="111">
        <f t="shared" si="0"/>
        <v>0.23052042699268147</v>
      </c>
      <c r="AJ5" t="s">
        <v>102</v>
      </c>
      <c r="AK5" t="s">
        <v>103</v>
      </c>
      <c r="AL5" t="s">
        <v>101</v>
      </c>
      <c r="AM5">
        <v>7.9080000000000004</v>
      </c>
    </row>
    <row r="6" spans="1:264" x14ac:dyDescent="0.3">
      <c r="A6" t="str">
        <f>SUBSTITUTE(C6,"&lt;XBSP&gt;"," BZ Equity")</f>
        <v>ITUB4 BZ Equity</v>
      </c>
      <c r="B6" s="48" t="str">
        <f>SUBSTITUTE(C6,"&lt;XBSP&gt;","")</f>
        <v>ITUB4</v>
      </c>
      <c r="C6" s="48" t="s">
        <v>102</v>
      </c>
      <c r="D6" s="48" t="s">
        <v>364</v>
      </c>
      <c r="E6" s="49"/>
      <c r="F6" s="49">
        <v>9.0030000000000019</v>
      </c>
      <c r="G6" s="102">
        <v>9.0030000000000013E-2</v>
      </c>
      <c r="H6" s="102"/>
      <c r="I6" s="103" t="s">
        <v>330</v>
      </c>
      <c r="J6" s="103" t="s">
        <v>331</v>
      </c>
      <c r="K6" s="104">
        <v>50</v>
      </c>
      <c r="L6" s="104"/>
      <c r="M6" s="104">
        <f>IF(K6&lt;&gt;"",K6,L6)</f>
        <v>50</v>
      </c>
      <c r="N6" s="104">
        <v>41.19</v>
      </c>
      <c r="O6" s="105">
        <f>IFERROR(M6/N6-1,"-")</f>
        <v>0.21388686574411264</v>
      </c>
      <c r="P6" s="105">
        <f>IFERROR(G6/SUMIF($I$4:$I$88,I6,$G$4:$G$88),0)</f>
        <v>0.48849701573521437</v>
      </c>
      <c r="Q6" s="111">
        <f>IFERROR(P6*O6,0)</f>
        <v>0.10448309562095748</v>
      </c>
      <c r="R6">
        <f t="shared" si="1"/>
        <v>15</v>
      </c>
      <c r="S6" s="48" t="s">
        <v>334</v>
      </c>
      <c r="T6" s="105">
        <f t="shared" si="0"/>
        <v>0.16154440614538623</v>
      </c>
      <c r="AJ6" t="s">
        <v>99</v>
      </c>
      <c r="AK6" t="s">
        <v>100</v>
      </c>
      <c r="AL6" t="s">
        <v>101</v>
      </c>
      <c r="AM6">
        <v>6.1710000000000003</v>
      </c>
    </row>
    <row r="7" spans="1:264" x14ac:dyDescent="0.3">
      <c r="A7" t="str">
        <f>SUBSTITUTE(C7,"&lt;XBSP&gt;"," BZ Equity")</f>
        <v>PETR3 BZ Equity</v>
      </c>
      <c r="B7" s="48" t="str">
        <f>SUBSTITUTE(C7,"&lt;XBSP&gt;","")</f>
        <v>PETR3</v>
      </c>
      <c r="C7" s="106" t="s">
        <v>104</v>
      </c>
      <c r="D7" s="106" t="s">
        <v>100</v>
      </c>
      <c r="E7" s="107"/>
      <c r="F7" s="107">
        <v>6.0050000000000008</v>
      </c>
      <c r="G7" s="108">
        <v>6.0050000000000006E-2</v>
      </c>
      <c r="H7" s="108"/>
      <c r="I7" s="109" t="s">
        <v>332</v>
      </c>
      <c r="J7" s="109" t="s">
        <v>331</v>
      </c>
      <c r="K7" s="104">
        <v>63</v>
      </c>
      <c r="L7" s="110"/>
      <c r="M7" s="110">
        <f>IF(K7&lt;&gt;"",K7,L7)</f>
        <v>63</v>
      </c>
      <c r="N7" s="104">
        <v>59.64</v>
      </c>
      <c r="O7" s="111">
        <f>IFERROR(M7/N7-1,"-")</f>
        <v>5.6338028169014009E-2</v>
      </c>
      <c r="P7" s="111">
        <f>IFERROR(G7/SUMIF($I$4:$I$88,I7,$G$4:$G$88),0)</f>
        <v>0.28147557888815972</v>
      </c>
      <c r="Q7" s="111">
        <f>IFERROR(P7*O7,0)</f>
        <v>1.5857779092290667E-2</v>
      </c>
      <c r="R7">
        <f t="shared" si="1"/>
        <v>4</v>
      </c>
      <c r="S7" s="106" t="s">
        <v>341</v>
      </c>
      <c r="T7" s="111">
        <f t="shared" si="0"/>
        <v>0.59695804720870482</v>
      </c>
      <c r="AJ7" t="s">
        <v>309</v>
      </c>
      <c r="AK7" t="s">
        <v>310</v>
      </c>
      <c r="AL7" t="s">
        <v>98</v>
      </c>
      <c r="AM7">
        <v>4.7329999999999997</v>
      </c>
    </row>
    <row r="8" spans="1:264" x14ac:dyDescent="0.3">
      <c r="A8" t="str">
        <f>SUBSTITUTE(C8,"&lt;XBSP&gt;"," BZ Equity")</f>
        <v>AXIA3 BZ Equity</v>
      </c>
      <c r="B8" s="48" t="str">
        <f>SUBSTITUTE(C8,"&lt;XBSP&gt;","")</f>
        <v>AXIA3</v>
      </c>
      <c r="C8" s="48" t="s">
        <v>309</v>
      </c>
      <c r="D8" s="48" t="s">
        <v>310</v>
      </c>
      <c r="E8" s="49"/>
      <c r="F8" s="49">
        <v>4.6820000000000004</v>
      </c>
      <c r="G8" s="102">
        <v>4.6820000000000007E-2</v>
      </c>
      <c r="H8" s="102"/>
      <c r="I8" s="103" t="s">
        <v>363</v>
      </c>
      <c r="J8" s="103" t="s">
        <v>331</v>
      </c>
      <c r="K8" s="104">
        <v>74.5</v>
      </c>
      <c r="L8" s="104"/>
      <c r="M8" s="104">
        <f>IF(K8&lt;&gt;"",K8,L8)</f>
        <v>74.5</v>
      </c>
      <c r="N8" s="104">
        <v>50.88</v>
      </c>
      <c r="O8" s="105">
        <f>IFERROR(M8/N8-1,"-")</f>
        <v>0.46422955974842761</v>
      </c>
      <c r="P8" s="105">
        <f>IFERROR(G8/SUMIF($I$4:$I$88,I8,$G$4:$G$88),0)</f>
        <v>0.34517841344736067</v>
      </c>
      <c r="Q8" s="105">
        <f>IFERROR(P8*O8,0)</f>
        <v>0.16024202290932896</v>
      </c>
      <c r="R8">
        <f t="shared" si="1"/>
        <v>16</v>
      </c>
      <c r="S8" s="48" t="s">
        <v>333</v>
      </c>
      <c r="T8" s="105">
        <f t="shared" si="0"/>
        <v>5.6116492675211044E-2</v>
      </c>
      <c r="AJ8" t="s">
        <v>105</v>
      </c>
      <c r="AK8" t="s">
        <v>106</v>
      </c>
      <c r="AL8" t="s">
        <v>101</v>
      </c>
      <c r="AM8">
        <v>4.1980000000000004</v>
      </c>
    </row>
    <row r="9" spans="1:264" x14ac:dyDescent="0.3">
      <c r="A9" t="str">
        <f>SUBSTITUTE(C9,"&lt;XBSP&gt;"," BZ Equity")</f>
        <v>SBSP3 BZ Equity</v>
      </c>
      <c r="B9" s="48" t="str">
        <f>SUBSTITUTE(C9,"&lt;XBSP&gt;","")</f>
        <v>SBSP3</v>
      </c>
      <c r="C9" s="106" t="s">
        <v>140</v>
      </c>
      <c r="D9" s="106" t="s">
        <v>141</v>
      </c>
      <c r="E9" s="107"/>
      <c r="F9" s="107">
        <v>3.6020000000000003</v>
      </c>
      <c r="G9" s="108">
        <v>3.6020000000000003E-2</v>
      </c>
      <c r="H9" s="108"/>
      <c r="I9" s="109" t="s">
        <v>362</v>
      </c>
      <c r="J9" s="109" t="s">
        <v>331</v>
      </c>
      <c r="K9" s="104">
        <v>36.844323438788912</v>
      </c>
      <c r="L9" s="110"/>
      <c r="M9" s="110">
        <f>IF(K9&lt;&gt;"",K9,L9)</f>
        <v>36.844323438788912</v>
      </c>
      <c r="N9" s="104">
        <v>25.53</v>
      </c>
      <c r="O9" s="111">
        <f>IFERROR(M9/N9-1,"-")</f>
        <v>0.44317757300387428</v>
      </c>
      <c r="P9" s="111">
        <f>IFERROR(G9/SUMIF($I$4:$I$88,I9,$G$4:$G$88),0)</f>
        <v>0.8267156300206564</v>
      </c>
      <c r="Q9" s="111">
        <f>IFERROR(P9*O9,0)</f>
        <v>0.36638182647692336</v>
      </c>
      <c r="R9">
        <f t="shared" si="1"/>
        <v>18</v>
      </c>
      <c r="S9" s="106" t="s">
        <v>359</v>
      </c>
      <c r="T9" s="111">
        <f t="shared" si="0"/>
        <v>-6.9552387633352628E-2</v>
      </c>
      <c r="AJ9" t="s">
        <v>104</v>
      </c>
      <c r="AK9" t="s">
        <v>100</v>
      </c>
      <c r="AL9" t="s">
        <v>98</v>
      </c>
      <c r="AM9">
        <v>3.931</v>
      </c>
    </row>
    <row r="10" spans="1:264" x14ac:dyDescent="0.3">
      <c r="A10" t="str">
        <f>SUBSTITUTE(C10,"&lt;XBSP&gt;"," BZ Equity")</f>
        <v>BBDC4 BZ Equity</v>
      </c>
      <c r="B10" s="48" t="str">
        <f>SUBSTITUTE(C10,"&lt;XBSP&gt;","")</f>
        <v>BBDC4</v>
      </c>
      <c r="C10" s="48" t="s">
        <v>105</v>
      </c>
      <c r="D10" s="48" t="s">
        <v>106</v>
      </c>
      <c r="E10" s="49"/>
      <c r="F10" s="49">
        <v>3.2910000000000004</v>
      </c>
      <c r="G10" s="102">
        <v>3.2910000000000002E-2</v>
      </c>
      <c r="H10" s="102"/>
      <c r="I10" s="103" t="s">
        <v>330</v>
      </c>
      <c r="J10" s="103" t="s">
        <v>329</v>
      </c>
      <c r="K10" s="104">
        <v>21</v>
      </c>
      <c r="L10" s="104"/>
      <c r="M10" s="104">
        <f>IF(K10&lt;&gt;"",K10,L10)</f>
        <v>21</v>
      </c>
      <c r="N10" s="104">
        <v>15.73</v>
      </c>
      <c r="O10" s="105">
        <f>IFERROR(M10/N10-1,"-")</f>
        <v>0.33502860775588039</v>
      </c>
      <c r="P10" s="105">
        <f>IFERROR(G10/SUMIF($I$4:$I$88,I10,$G$4:$G$88),0)</f>
        <v>0.17856755290287574</v>
      </c>
      <c r="Q10" s="105">
        <f>IFERROR(P10*O10,0)</f>
        <v>5.9825238639424974E-2</v>
      </c>
      <c r="R10">
        <f t="shared" si="1"/>
        <v>13</v>
      </c>
      <c r="S10" s="48" t="s">
        <v>336</v>
      </c>
      <c r="T10" s="105">
        <f t="shared" si="0"/>
        <v>0.21702274991836962</v>
      </c>
      <c r="AJ10" t="s">
        <v>140</v>
      </c>
      <c r="AK10" t="s">
        <v>141</v>
      </c>
      <c r="AL10" t="s">
        <v>98</v>
      </c>
      <c r="AM10">
        <v>3.5289999999999999</v>
      </c>
    </row>
    <row r="11" spans="1:264" x14ac:dyDescent="0.3">
      <c r="A11" t="str">
        <f>SUBSTITUTE(C11,"&lt;XBSP&gt;"," BZ Equity")</f>
        <v>ITSA4 BZ Equity</v>
      </c>
      <c r="B11" s="48" t="str">
        <f>SUBSTITUTE(C11,"&lt;XBSP&gt;","")</f>
        <v>ITSA4</v>
      </c>
      <c r="C11" s="106" t="s">
        <v>113</v>
      </c>
      <c r="D11" s="106"/>
      <c r="E11" s="107"/>
      <c r="F11" s="107">
        <v>3.2390000000000003</v>
      </c>
      <c r="G11" s="108">
        <v>3.2390000000000002E-2</v>
      </c>
      <c r="H11" s="108"/>
      <c r="I11" s="109"/>
      <c r="J11" s="109"/>
      <c r="K11" s="104"/>
      <c r="L11" s="110">
        <v>17.780000686645508</v>
      </c>
      <c r="M11" s="110">
        <f>IF(K11&lt;&gt;"",K11,L11)</f>
        <v>17.780000686645508</v>
      </c>
      <c r="N11" s="104">
        <v>13.33</v>
      </c>
      <c r="O11" s="111">
        <f>IFERROR(M11/N11-1,"-")</f>
        <v>0.33383350987588201</v>
      </c>
      <c r="P11" s="111">
        <f>IFERROR(G11/SUMIF($I$4:$I$88,I11,$G$4:$G$88),0)</f>
        <v>0</v>
      </c>
      <c r="Q11" s="111">
        <f>IFERROR(P11*O11,0)</f>
        <v>0</v>
      </c>
      <c r="R11">
        <f t="shared" si="1"/>
        <v>1</v>
      </c>
      <c r="S11" s="106" t="s">
        <v>360</v>
      </c>
      <c r="T11" s="166">
        <f t="shared" si="0"/>
        <v>0.92062098237964141</v>
      </c>
      <c r="AJ11" t="s">
        <v>119</v>
      </c>
      <c r="AK11" t="s">
        <v>120</v>
      </c>
      <c r="AL11" t="s">
        <v>121</v>
      </c>
      <c r="AM11">
        <v>3.1669999999999998</v>
      </c>
    </row>
    <row r="12" spans="1:264" x14ac:dyDescent="0.3">
      <c r="A12" t="str">
        <f>SUBSTITUTE(C12,"&lt;XBSP&gt;"," BZ Equity")</f>
        <v>B3SA3 BZ Equity</v>
      </c>
      <c r="B12" s="48" t="str">
        <f>SUBSTITUTE(C12,"&lt;XBSP&gt;","")</f>
        <v>B3SA3</v>
      </c>
      <c r="C12" s="48" t="s">
        <v>107</v>
      </c>
      <c r="D12" s="48" t="s">
        <v>108</v>
      </c>
      <c r="E12" s="49"/>
      <c r="F12" s="49">
        <v>3.0390000000000006</v>
      </c>
      <c r="G12" s="102">
        <v>3.0390000000000007E-2</v>
      </c>
      <c r="H12" s="102"/>
      <c r="I12" s="103" t="s">
        <v>333</v>
      </c>
      <c r="J12" s="103" t="s">
        <v>329</v>
      </c>
      <c r="K12" s="104">
        <v>16</v>
      </c>
      <c r="L12" s="104"/>
      <c r="M12" s="104">
        <f>IF(K12&lt;&gt;"",K12,L12)</f>
        <v>16</v>
      </c>
      <c r="N12" s="104">
        <v>15.4</v>
      </c>
      <c r="O12" s="105">
        <f>IFERROR(M12/N12-1,"-")</f>
        <v>3.8961038961038863E-2</v>
      </c>
      <c r="P12" s="105">
        <f>IFERROR(G12/SUMIF($I$4:$I$88,I12,$G$4:$G$88),0)</f>
        <v>0.85581526330611102</v>
      </c>
      <c r="Q12" s="105">
        <f>IFERROR(P12*O12,0)</f>
        <v>3.3343451817121124E-2</v>
      </c>
      <c r="R12">
        <f t="shared" si="1"/>
        <v>6</v>
      </c>
      <c r="S12" s="48" t="s">
        <v>361</v>
      </c>
      <c r="T12" s="105">
        <f t="shared" si="0"/>
        <v>0.42702706526550194</v>
      </c>
      <c r="AJ12" t="s">
        <v>107</v>
      </c>
      <c r="AK12" t="s">
        <v>108</v>
      </c>
      <c r="AL12" t="s">
        <v>98</v>
      </c>
      <c r="AM12">
        <v>3.1309999999999998</v>
      </c>
    </row>
    <row r="13" spans="1:264" x14ac:dyDescent="0.3">
      <c r="A13" t="str">
        <f>SUBSTITUTE(C13,"&lt;XBSP&gt;"," BZ Equity")</f>
        <v>BPAC11 BZ Equity</v>
      </c>
      <c r="B13" s="48" t="str">
        <f>SUBSTITUTE(C13,"&lt;XBSP&gt;","")</f>
        <v>BPAC11</v>
      </c>
      <c r="C13" s="106" t="s">
        <v>119</v>
      </c>
      <c r="D13" s="106" t="s">
        <v>365</v>
      </c>
      <c r="E13" s="107"/>
      <c r="F13" s="107">
        <v>2.8990000000000005</v>
      </c>
      <c r="G13" s="108">
        <v>2.8990000000000005E-2</v>
      </c>
      <c r="H13" s="108"/>
      <c r="I13" s="109" t="s">
        <v>330</v>
      </c>
      <c r="J13" s="109" t="s">
        <v>331</v>
      </c>
      <c r="K13" s="104">
        <v>63</v>
      </c>
      <c r="L13" s="110"/>
      <c r="M13" s="110">
        <f>IF(K13&lt;&gt;"",K13,L13)</f>
        <v>63</v>
      </c>
      <c r="N13" s="104">
        <v>60.25</v>
      </c>
      <c r="O13" s="111">
        <f>IFERROR(M13/N13-1,"-")</f>
        <v>4.5643153526971014E-2</v>
      </c>
      <c r="P13" s="111">
        <f>IFERROR(G13/SUMIF($I$4:$I$88,I13,$G$4:$G$88),0)</f>
        <v>0.15729788388497018</v>
      </c>
      <c r="Q13" s="111">
        <f>IFERROR(P13*O13,0)</f>
        <v>7.1795714636293537E-3</v>
      </c>
      <c r="R13">
        <f t="shared" si="1"/>
        <v>8</v>
      </c>
      <c r="S13" s="106" t="s">
        <v>328</v>
      </c>
      <c r="T13" s="111">
        <f t="shared" si="0"/>
        <v>0.30881388336476173</v>
      </c>
      <c r="AJ13" t="s">
        <v>113</v>
      </c>
      <c r="AK13" t="s">
        <v>114</v>
      </c>
      <c r="AL13" t="s">
        <v>101</v>
      </c>
      <c r="AM13">
        <v>2.9689999999999999</v>
      </c>
    </row>
    <row r="14" spans="1:264" x14ac:dyDescent="0.3">
      <c r="A14" t="str">
        <f>SUBSTITUTE(C14,"&lt;XBSP&gt;"," BZ Equity")</f>
        <v>EMBJ3 BZ Equity</v>
      </c>
      <c r="B14" s="48" t="str">
        <f>SUBSTITUTE(C14,"&lt;XBSP&gt;","")</f>
        <v>EMBJ3</v>
      </c>
      <c r="C14" s="48" t="s">
        <v>311</v>
      </c>
      <c r="D14" s="48" t="s">
        <v>165</v>
      </c>
      <c r="E14" s="49"/>
      <c r="F14" s="49">
        <v>2.7700000000000005</v>
      </c>
      <c r="G14" s="102">
        <v>2.7700000000000002E-2</v>
      </c>
      <c r="H14" s="102"/>
      <c r="I14" s="103" t="s">
        <v>334</v>
      </c>
      <c r="J14" s="103" t="s">
        <v>331</v>
      </c>
      <c r="K14" s="104">
        <v>116</v>
      </c>
      <c r="L14" s="104"/>
      <c r="M14" s="104">
        <f>IF(K14&lt;&gt;"",K14,L14)</f>
        <v>116</v>
      </c>
      <c r="N14" s="104">
        <v>97.38</v>
      </c>
      <c r="O14" s="105">
        <f>IFERROR(M14/N14-1,"-")</f>
        <v>0.19120969398233734</v>
      </c>
      <c r="P14" s="105">
        <f>IFERROR(G14/SUMIF($I$4:$I$88,I14,$G$4:$G$88),0)</f>
        <v>0.50172070277123704</v>
      </c>
      <c r="Q14" s="105">
        <f>IFERROR(P14*O14,0)</f>
        <v>9.5933862041491458E-2</v>
      </c>
      <c r="R14">
        <f t="shared" si="1"/>
        <v>14</v>
      </c>
      <c r="S14" s="48" t="s">
        <v>332</v>
      </c>
      <c r="T14" s="105">
        <f t="shared" si="0"/>
        <v>0.1666907852025469</v>
      </c>
      <c r="AJ14" t="s">
        <v>117</v>
      </c>
      <c r="AK14" t="s">
        <v>118</v>
      </c>
      <c r="AL14" t="s">
        <v>98</v>
      </c>
      <c r="AM14">
        <v>2.78</v>
      </c>
    </row>
    <row r="15" spans="1:264" x14ac:dyDescent="0.3">
      <c r="A15" t="str">
        <f>SUBSTITUTE(C15,"&lt;XBSP&gt;"," BZ Equity")</f>
        <v>WEGE3 BZ Equity</v>
      </c>
      <c r="B15" s="48" t="str">
        <f>SUBSTITUTE(C15,"&lt;XBSP&gt;","")</f>
        <v>WEGE3</v>
      </c>
      <c r="C15" s="106" t="s">
        <v>117</v>
      </c>
      <c r="D15" s="106" t="s">
        <v>118</v>
      </c>
      <c r="E15" s="107"/>
      <c r="F15" s="107">
        <v>2.6300000000000003</v>
      </c>
      <c r="G15" s="108">
        <v>2.6300000000000004E-2</v>
      </c>
      <c r="H15" s="108"/>
      <c r="I15" s="109" t="s">
        <v>334</v>
      </c>
      <c r="J15" s="109" t="s">
        <v>329</v>
      </c>
      <c r="K15" s="104">
        <v>52</v>
      </c>
      <c r="L15" s="110"/>
      <c r="M15" s="110">
        <f>IF(K15&lt;&gt;"",K15,L15)</f>
        <v>52</v>
      </c>
      <c r="N15" s="104">
        <v>46.16</v>
      </c>
      <c r="O15" s="111">
        <f>IFERROR(M15/N15-1,"-")</f>
        <v>0.12651646447140386</v>
      </c>
      <c r="P15" s="111">
        <f>IFERROR(G15/SUMIF($I$4:$I$88,I15,$G$4:$G$88),0)</f>
        <v>0.47636297772142727</v>
      </c>
      <c r="Q15" s="111">
        <f>IFERROR(P15*O15,0)</f>
        <v>6.0267759746385097E-2</v>
      </c>
      <c r="R15">
        <f t="shared" si="1"/>
        <v>10</v>
      </c>
      <c r="S15" s="106" t="s">
        <v>338</v>
      </c>
      <c r="T15" s="111">
        <f t="shared" si="0"/>
        <v>0.2699748578370223</v>
      </c>
      <c r="AJ15" t="s">
        <v>109</v>
      </c>
      <c r="AK15" t="s">
        <v>110</v>
      </c>
      <c r="AL15" t="s">
        <v>98</v>
      </c>
      <c r="AM15">
        <v>2.7210000000000001</v>
      </c>
    </row>
    <row r="16" spans="1:264" x14ac:dyDescent="0.3">
      <c r="A16" t="str">
        <f>SUBSTITUTE(C16,"&lt;XBSP&gt;"," BZ Equity")</f>
        <v>ABEV3 BZ Equity</v>
      </c>
      <c r="B16" s="48" t="str">
        <f>SUBSTITUTE(C16,"&lt;XBSP&gt;","")</f>
        <v>ABEV3</v>
      </c>
      <c r="C16" s="48" t="s">
        <v>111</v>
      </c>
      <c r="D16" s="48" t="s">
        <v>366</v>
      </c>
      <c r="E16" s="49"/>
      <c r="F16" s="49">
        <v>2.5140000000000002</v>
      </c>
      <c r="G16" s="102">
        <v>2.5140000000000003E-2</v>
      </c>
      <c r="H16" s="102"/>
      <c r="I16" s="103" t="s">
        <v>359</v>
      </c>
      <c r="J16" s="103" t="s">
        <v>335</v>
      </c>
      <c r="K16" s="104">
        <v>13</v>
      </c>
      <c r="L16" s="104"/>
      <c r="M16" s="104">
        <f>IF(K16&lt;&gt;"",K16,L16)</f>
        <v>13</v>
      </c>
      <c r="N16" s="104">
        <v>15.57</v>
      </c>
      <c r="O16" s="105">
        <f>IFERROR(M16/N16-1,"-")</f>
        <v>-0.16506101477199742</v>
      </c>
      <c r="P16" s="105">
        <f>IFERROR(G16/SUMIF($I$4:$I$88,I16,$G$4:$G$88),0)</f>
        <v>0.8194263363754889</v>
      </c>
      <c r="Q16" s="105">
        <f>IFERROR(P16*O16,0)</f>
        <v>-0.13525534261303829</v>
      </c>
      <c r="R16">
        <f t="shared" si="1"/>
        <v>3</v>
      </c>
      <c r="S16" s="48" t="s">
        <v>339</v>
      </c>
      <c r="T16" s="105">
        <f t="shared" si="0"/>
        <v>0.74675108813203006</v>
      </c>
      <c r="AJ16" t="s">
        <v>311</v>
      </c>
      <c r="AK16" t="s">
        <v>165</v>
      </c>
      <c r="AL16" t="s">
        <v>98</v>
      </c>
      <c r="AM16">
        <v>2.625</v>
      </c>
    </row>
    <row r="17" spans="1:39" x14ac:dyDescent="0.3">
      <c r="A17" t="str">
        <f>SUBSTITUTE(C17,"&lt;XBSP&gt;"," BZ Equity")</f>
        <v>PRIO3 BZ Equity</v>
      </c>
      <c r="B17" s="48" t="str">
        <f>SUBSTITUTE(C17,"&lt;XBSP&gt;","")</f>
        <v>PRIO3</v>
      </c>
      <c r="C17" s="106" t="s">
        <v>124</v>
      </c>
      <c r="D17" s="106" t="s">
        <v>367</v>
      </c>
      <c r="E17" s="107"/>
      <c r="F17" s="107">
        <v>2.1690000000000005</v>
      </c>
      <c r="G17" s="108">
        <v>2.1690000000000004E-2</v>
      </c>
      <c r="H17" s="108"/>
      <c r="I17" s="109" t="s">
        <v>332</v>
      </c>
      <c r="J17" s="109" t="s">
        <v>331</v>
      </c>
      <c r="K17" s="104">
        <v>78</v>
      </c>
      <c r="L17" s="110"/>
      <c r="M17" s="110">
        <f>IF(K17&lt;&gt;"",K17,L17)</f>
        <v>78</v>
      </c>
      <c r="N17" s="104">
        <v>70.430000000000007</v>
      </c>
      <c r="O17" s="111">
        <f>IFERROR(M17/N17-1,"-")</f>
        <v>0.1074826068436745</v>
      </c>
      <c r="P17" s="111">
        <f>IFERROR(G17/SUMIF($I$4:$I$88,I17,$G$4:$G$88),0)</f>
        <v>0.10166869785319209</v>
      </c>
      <c r="Q17" s="111">
        <f>IFERROR(P17*O17,0)</f>
        <v>1.0927616679662978E-2</v>
      </c>
      <c r="R17">
        <f t="shared" si="1"/>
        <v>5</v>
      </c>
      <c r="S17" s="106" t="s">
        <v>362</v>
      </c>
      <c r="T17" s="111">
        <f t="shared" si="0"/>
        <v>0.49646372187183785</v>
      </c>
      <c r="AJ17" t="s">
        <v>111</v>
      </c>
      <c r="AK17" t="s">
        <v>112</v>
      </c>
      <c r="AL17" t="s">
        <v>98</v>
      </c>
      <c r="AM17">
        <v>2.5019999999999998</v>
      </c>
    </row>
    <row r="18" spans="1:39" x14ac:dyDescent="0.3">
      <c r="A18" t="str">
        <f>SUBSTITUTE(C18,"&lt;XBSP&gt;"," BZ Equity")</f>
        <v>ENEV3 BZ Equity</v>
      </c>
      <c r="B18" s="48" t="str">
        <f>SUBSTITUTE(C18,"&lt;XBSP&gt;","")</f>
        <v>ENEV3</v>
      </c>
      <c r="C18" s="48" t="s">
        <v>149</v>
      </c>
      <c r="D18" s="48" t="s">
        <v>150</v>
      </c>
      <c r="E18" s="49"/>
      <c r="F18" s="49">
        <v>2.0670000000000006</v>
      </c>
      <c r="G18" s="102">
        <v>2.0670000000000004E-2</v>
      </c>
      <c r="H18" s="102"/>
      <c r="I18" s="103" t="s">
        <v>363</v>
      </c>
      <c r="J18" s="103" t="s">
        <v>331</v>
      </c>
      <c r="K18" s="104">
        <v>30.345896609827811</v>
      </c>
      <c r="L18" s="27"/>
      <c r="M18" s="104">
        <f>IF(K18&lt;&gt;"",K18,L18)</f>
        <v>30.345896609827811</v>
      </c>
      <c r="N18" s="104">
        <v>26.93</v>
      </c>
      <c r="O18" s="105">
        <f>IFERROR(M18/N18-1,"-")</f>
        <v>0.12684354288257738</v>
      </c>
      <c r="P18" s="105">
        <f>IFERROR(G18/SUMIF($I$4:$I$88,I18,$G$4:$G$88),0)</f>
        <v>0.15238867590681218</v>
      </c>
      <c r="Q18" s="105">
        <f>IFERROR(P18*O18,0)</f>
        <v>1.9329519547204917E-2</v>
      </c>
      <c r="R18">
        <f t="shared" si="1"/>
        <v>12</v>
      </c>
      <c r="S18" s="48" t="s">
        <v>340</v>
      </c>
      <c r="T18" s="105">
        <f t="shared" si="0"/>
        <v>0.22450617362523362</v>
      </c>
      <c r="AJ18" t="s">
        <v>130</v>
      </c>
      <c r="AK18" t="s">
        <v>131</v>
      </c>
      <c r="AL18" t="s">
        <v>98</v>
      </c>
      <c r="AM18">
        <v>2.0990000000000002</v>
      </c>
    </row>
    <row r="19" spans="1:39" x14ac:dyDescent="0.3">
      <c r="A19" t="str">
        <f>SUBSTITUTE(C19,"&lt;XBSP&gt;"," BZ Equity")</f>
        <v>BBAS3 BZ Equity</v>
      </c>
      <c r="B19" s="48" t="str">
        <f>SUBSTITUTE(C19,"&lt;XBSP&gt;","")</f>
        <v>BBAS3</v>
      </c>
      <c r="C19" s="106" t="s">
        <v>109</v>
      </c>
      <c r="D19" s="106" t="s">
        <v>368</v>
      </c>
      <c r="E19" s="107"/>
      <c r="F19" s="107">
        <v>2.0089999999999999</v>
      </c>
      <c r="G19" s="108">
        <v>2.009E-2</v>
      </c>
      <c r="H19" s="108"/>
      <c r="I19" s="109" t="s">
        <v>330</v>
      </c>
      <c r="J19" s="109" t="s">
        <v>329</v>
      </c>
      <c r="K19" s="104">
        <v>21</v>
      </c>
      <c r="L19" s="110"/>
      <c r="M19" s="110">
        <f>IF(K19&lt;&gt;"",K19,L19)</f>
        <v>21</v>
      </c>
      <c r="N19" s="104">
        <v>17.38</v>
      </c>
      <c r="O19" s="111">
        <f>IFERROR(M19/N19-1,"-")</f>
        <v>0.20828538550057552</v>
      </c>
      <c r="P19" s="111">
        <f>IFERROR(G19/SUMIF($I$4:$I$88,I19,$G$4:$G$88),0)</f>
        <v>0.10900705371676613</v>
      </c>
      <c r="Q19" s="111">
        <f>IFERROR(P19*O19,0)</f>
        <v>2.2704576205678575E-2</v>
      </c>
      <c r="R19">
        <f t="shared" si="1"/>
        <v>2</v>
      </c>
      <c r="S19" s="106" t="s">
        <v>337</v>
      </c>
      <c r="T19" s="111">
        <f t="shared" si="0"/>
        <v>0.86026313457478432</v>
      </c>
      <c r="AJ19" t="s">
        <v>122</v>
      </c>
      <c r="AK19" t="s">
        <v>123</v>
      </c>
      <c r="AL19" t="s">
        <v>98</v>
      </c>
      <c r="AM19">
        <v>2.0819999999999999</v>
      </c>
    </row>
    <row r="20" spans="1:39" x14ac:dyDescent="0.3">
      <c r="A20" t="str">
        <f>SUBSTITUTE(C20,"&lt;XBSP&gt;"," BZ Equity")</f>
        <v>CPLE3 BZ Equity</v>
      </c>
      <c r="B20" s="48" t="str">
        <f>SUBSTITUTE(C20,"&lt;XBSP&gt;","")</f>
        <v>CPLE3</v>
      </c>
      <c r="C20" s="48" t="s">
        <v>325</v>
      </c>
      <c r="D20" s="48" t="s">
        <v>162</v>
      </c>
      <c r="E20" s="49"/>
      <c r="F20" s="49">
        <v>1.8140000000000003</v>
      </c>
      <c r="G20" s="102">
        <v>1.8140000000000003E-2</v>
      </c>
      <c r="H20" s="102"/>
      <c r="I20" s="103" t="s">
        <v>363</v>
      </c>
      <c r="J20" s="103" t="s">
        <v>331</v>
      </c>
      <c r="K20" s="104">
        <v>19.868809053917779</v>
      </c>
      <c r="L20" s="104"/>
      <c r="M20" s="104">
        <f>IF(K20&lt;&gt;"",K20,L20)</f>
        <v>19.868809053917779</v>
      </c>
      <c r="N20" s="104">
        <v>15.13</v>
      </c>
      <c r="O20" s="105">
        <f>IFERROR(M20/N20-1,"-")</f>
        <v>0.31320615029198806</v>
      </c>
      <c r="P20" s="105">
        <f>IFERROR(G20/SUMIF($I$4:$I$88,I20,$G$4:$G$88),0)</f>
        <v>0.13373636095547037</v>
      </c>
      <c r="Q20" s="105">
        <f>IFERROR(P20*O20,0)</f>
        <v>4.1887050768922615E-2</v>
      </c>
      <c r="R20">
        <f t="shared" si="1"/>
        <v>7</v>
      </c>
      <c r="S20" s="48" t="s">
        <v>363</v>
      </c>
      <c r="T20" s="105">
        <f t="shared" si="0"/>
        <v>0.40412822192244102</v>
      </c>
      <c r="AJ20" t="s">
        <v>115</v>
      </c>
      <c r="AK20" t="s">
        <v>116</v>
      </c>
      <c r="AL20" t="s">
        <v>98</v>
      </c>
      <c r="AM20">
        <v>1.7949999999999999</v>
      </c>
    </row>
    <row r="21" spans="1:39" x14ac:dyDescent="0.3">
      <c r="A21" t="str">
        <f>SUBSTITUTE(C21,"&lt;XBSP&gt;"," BZ Equity")</f>
        <v>EQTL3 BZ Equity</v>
      </c>
      <c r="B21" s="48" t="str">
        <f>SUBSTITUTE(C21,"&lt;XBSP&gt;","")</f>
        <v>EQTL3</v>
      </c>
      <c r="C21" s="106" t="s">
        <v>122</v>
      </c>
      <c r="D21" s="106" t="s">
        <v>369</v>
      </c>
      <c r="E21" s="107"/>
      <c r="F21" s="107">
        <v>1.7560000000000002</v>
      </c>
      <c r="G21" s="108">
        <v>1.7560000000000003E-2</v>
      </c>
      <c r="H21" s="108"/>
      <c r="I21" s="109" t="s">
        <v>363</v>
      </c>
      <c r="J21" s="109" t="s">
        <v>331</v>
      </c>
      <c r="K21" s="104">
        <v>61.727870799561799</v>
      </c>
      <c r="L21" s="110"/>
      <c r="M21" s="110">
        <f>IF(K21&lt;&gt;"",K21,L21)</f>
        <v>61.727870799561799</v>
      </c>
      <c r="N21" s="104">
        <v>35.299999999999997</v>
      </c>
      <c r="O21" s="111">
        <f>IFERROR(M21/N21-1,"-")</f>
        <v>0.74866489517172252</v>
      </c>
      <c r="P21" s="111">
        <f>IFERROR(G21/SUMIF($I$4:$I$88,I21,$G$4:$G$88),0)</f>
        <v>0.12946033618401653</v>
      </c>
      <c r="Q21" s="111">
        <f>IFERROR(P21*O21,0)</f>
        <v>9.6922409018102701E-2</v>
      </c>
      <c r="R21">
        <f t="shared" si="1"/>
        <v>9</v>
      </c>
      <c r="S21" t="s">
        <v>239</v>
      </c>
      <c r="T21" s="112">
        <f>S87</f>
        <v>0.28113920956532795</v>
      </c>
      <c r="AJ21" t="s">
        <v>149</v>
      </c>
      <c r="AK21" t="s">
        <v>150</v>
      </c>
      <c r="AL21" t="s">
        <v>98</v>
      </c>
      <c r="AM21">
        <v>1.5780000000000001</v>
      </c>
    </row>
    <row r="22" spans="1:39" x14ac:dyDescent="0.3">
      <c r="A22" t="str">
        <f>SUBSTITUTE(C22,"&lt;XBSP&gt;"," BZ Equity")</f>
        <v>VBBR3 BZ Equity</v>
      </c>
      <c r="B22" s="48" t="str">
        <f>SUBSTITUTE(C22,"&lt;XBSP&gt;","")</f>
        <v>VBBR3</v>
      </c>
      <c r="C22" s="48" t="s">
        <v>138</v>
      </c>
      <c r="D22" s="48" t="s">
        <v>370</v>
      </c>
      <c r="E22" s="49"/>
      <c r="F22" s="49">
        <v>1.5560000000000003</v>
      </c>
      <c r="G22" s="102">
        <v>1.5560000000000003E-2</v>
      </c>
      <c r="H22" s="102"/>
      <c r="I22" s="103" t="s">
        <v>332</v>
      </c>
      <c r="J22" s="103" t="s">
        <v>331</v>
      </c>
      <c r="K22" s="104">
        <v>44</v>
      </c>
      <c r="L22" s="104"/>
      <c r="M22" s="104">
        <f>IF(K22&lt;&gt;"",K22,L22)</f>
        <v>44</v>
      </c>
      <c r="N22" s="104">
        <v>32.18</v>
      </c>
      <c r="O22" s="105">
        <f>IFERROR(M22/N22-1,"-")</f>
        <v>0.3673088875077688</v>
      </c>
      <c r="P22" s="105">
        <f>IFERROR(G22/SUMIF($I$4:$I$88,I22,$G$4:$G$88),0)</f>
        <v>7.2935220774350801E-2</v>
      </c>
      <c r="Q22" s="105">
        <f>IFERROR(P22*O22,0)</f>
        <v>2.6789754802760302E-2</v>
      </c>
      <c r="AJ22" t="s">
        <v>126</v>
      </c>
      <c r="AK22" t="s">
        <v>127</v>
      </c>
      <c r="AL22" t="s">
        <v>98</v>
      </c>
      <c r="AM22">
        <v>1.331</v>
      </c>
    </row>
    <row r="23" spans="1:39" x14ac:dyDescent="0.3">
      <c r="A23" t="str">
        <f>SUBSTITUTE(C23,"&lt;XBSP&gt;"," BZ Equity")</f>
        <v>UGPA3 BZ Equity</v>
      </c>
      <c r="B23" s="48" t="str">
        <f>SUBSTITUTE(C23,"&lt;XBSP&gt;","")</f>
        <v>UGPA3</v>
      </c>
      <c r="C23" s="106" t="s">
        <v>134</v>
      </c>
      <c r="D23" s="106" t="s">
        <v>135</v>
      </c>
      <c r="E23" s="107"/>
      <c r="F23" s="107">
        <v>1.5220000000000002</v>
      </c>
      <c r="G23" s="108">
        <v>1.5220000000000003E-2</v>
      </c>
      <c r="H23" s="108"/>
      <c r="I23" s="109" t="s">
        <v>332</v>
      </c>
      <c r="J23" s="109" t="s">
        <v>329</v>
      </c>
      <c r="K23" s="104">
        <v>41</v>
      </c>
      <c r="L23" s="110"/>
      <c r="M23" s="110">
        <f>IF(K23&lt;&gt;"",K23,L23)</f>
        <v>41</v>
      </c>
      <c r="N23" s="104">
        <v>34.229999999999997</v>
      </c>
      <c r="O23" s="111">
        <f>IFERROR(M23/N23-1,"-")</f>
        <v>0.19777972538708743</v>
      </c>
      <c r="P23" s="111">
        <f>IFERROR(G23/SUMIF($I$4:$I$88,I23,$G$4:$G$88),0)</f>
        <v>7.1341520577481957E-2</v>
      </c>
      <c r="Q23" s="111">
        <f>IFERROR(P23*O23,0)</f>
        <v>1.4109906348511629E-2</v>
      </c>
      <c r="R23">
        <v>1</v>
      </c>
      <c r="S23" t="str">
        <f>VLOOKUP($R23,$R$4:$T$21,2,FALSE)</f>
        <v>Homebuilders</v>
      </c>
      <c r="T23" s="29">
        <f>VLOOKUP($R23,$R$4:$T$21,3,FALSE)</f>
        <v>0.92062098237964141</v>
      </c>
      <c r="AJ23" t="s">
        <v>124</v>
      </c>
      <c r="AK23" t="s">
        <v>125</v>
      </c>
      <c r="AL23" t="s">
        <v>98</v>
      </c>
      <c r="AM23">
        <v>1.2929999999999999</v>
      </c>
    </row>
    <row r="24" spans="1:39" x14ac:dyDescent="0.3">
      <c r="A24" t="str">
        <f>SUBSTITUTE(C24,"&lt;XBSP&gt;"," BZ Equity")</f>
        <v>RDOR3 BZ Equity</v>
      </c>
      <c r="B24" s="48" t="str">
        <f>SUBSTITUTE(C24,"&lt;XBSP&gt;","")</f>
        <v>RDOR3</v>
      </c>
      <c r="C24" s="48" t="s">
        <v>130</v>
      </c>
      <c r="D24" s="48" t="s">
        <v>371</v>
      </c>
      <c r="E24" s="49"/>
      <c r="F24" s="49">
        <v>1.4590000000000003</v>
      </c>
      <c r="G24" s="102">
        <v>1.4590000000000002E-2</v>
      </c>
      <c r="H24" s="102"/>
      <c r="I24" s="103" t="s">
        <v>336</v>
      </c>
      <c r="J24" s="103" t="s">
        <v>331</v>
      </c>
      <c r="K24" s="104">
        <v>45</v>
      </c>
      <c r="L24" s="104"/>
      <c r="M24" s="104">
        <f>IF(K24&lt;&gt;"",K24,L24)</f>
        <v>45</v>
      </c>
      <c r="N24" s="104">
        <v>34.72</v>
      </c>
      <c r="O24" s="105">
        <f>IFERROR(M24/N24-1,"-")</f>
        <v>0.29608294930875578</v>
      </c>
      <c r="P24" s="105">
        <f>IFERROR(G24/SUMIF($I$4:$I$88,I24,$G$4:$G$88),0)</f>
        <v>0.69377080361388488</v>
      </c>
      <c r="Q24" s="105">
        <f>IFERROR(P24*O24,0)</f>
        <v>0.20541370567830464</v>
      </c>
      <c r="R24">
        <v>2</v>
      </c>
      <c r="S24" t="str">
        <f t="shared" ref="S24:S39" si="2">VLOOKUP($R24,$R$4:$T$21,2,FALSE)</f>
        <v>Transportation</v>
      </c>
      <c r="T24" s="29">
        <f t="shared" ref="T24:T39" si="3">VLOOKUP($R24,$R$4:$T$21,3,FALSE)</f>
        <v>0.86026313457478432</v>
      </c>
      <c r="AJ24" t="s">
        <v>128</v>
      </c>
      <c r="AK24" t="s">
        <v>129</v>
      </c>
      <c r="AL24" t="s">
        <v>98</v>
      </c>
      <c r="AM24">
        <v>1.264</v>
      </c>
    </row>
    <row r="25" spans="1:39" x14ac:dyDescent="0.3">
      <c r="A25" t="str">
        <f>SUBSTITUTE(C25,"&lt;XBSP&gt;"," BZ Equity")</f>
        <v>GGBR4 BZ Equity</v>
      </c>
      <c r="B25" s="48" t="str">
        <f>SUBSTITUTE(C25,"&lt;XBSP&gt;","")</f>
        <v>GGBR4</v>
      </c>
      <c r="C25" s="106" t="s">
        <v>136</v>
      </c>
      <c r="D25" s="106" t="s">
        <v>137</v>
      </c>
      <c r="E25" s="107"/>
      <c r="F25" s="107">
        <v>1.2809999999999999</v>
      </c>
      <c r="G25" s="108">
        <v>1.281E-2</v>
      </c>
      <c r="H25" s="108"/>
      <c r="I25" s="109" t="s">
        <v>328</v>
      </c>
      <c r="J25" s="109" t="s">
        <v>331</v>
      </c>
      <c r="K25" s="104">
        <v>30</v>
      </c>
      <c r="L25" s="110"/>
      <c r="M25" s="110">
        <f>IF(K25&lt;&gt;"",K25,L25)</f>
        <v>30</v>
      </c>
      <c r="N25" s="104">
        <v>24.75</v>
      </c>
      <c r="O25" s="111">
        <f>IFERROR(M25/N25-1,"-")</f>
        <v>0.21212121212121215</v>
      </c>
      <c r="P25" s="111">
        <f>IFERROR(G25/SUMIF($I$4:$I$88,I25,$G$4:$G$88),0)</f>
        <v>0.1064660904255319</v>
      </c>
      <c r="Q25" s="111">
        <f>IFERROR(P25*O25,0)</f>
        <v>2.2583716150870407E-2</v>
      </c>
      <c r="R25">
        <v>3</v>
      </c>
      <c r="S25" t="str">
        <f t="shared" si="2"/>
        <v>Retail</v>
      </c>
      <c r="T25" s="29">
        <f t="shared" si="3"/>
        <v>0.74675108813203006</v>
      </c>
      <c r="AJ25" t="s">
        <v>138</v>
      </c>
      <c r="AK25" t="s">
        <v>139</v>
      </c>
      <c r="AL25" t="s">
        <v>98</v>
      </c>
      <c r="AM25">
        <v>1.2270000000000001</v>
      </c>
    </row>
    <row r="26" spans="1:39" x14ac:dyDescent="0.3">
      <c r="A26" t="str">
        <f>SUBSTITUTE(C26,"&lt;XBSP&gt;"," BZ Equity")</f>
        <v>RENT3 BZ Equity</v>
      </c>
      <c r="B26" s="48" t="str">
        <f>SUBSTITUTE(C26,"&lt;XBSP&gt;","")</f>
        <v>RENT3</v>
      </c>
      <c r="C26" s="48" t="s">
        <v>115</v>
      </c>
      <c r="D26" s="48" t="s">
        <v>116</v>
      </c>
      <c r="E26" s="49"/>
      <c r="F26" s="49">
        <v>1.2510000000000001</v>
      </c>
      <c r="G26" s="102">
        <v>1.251E-2</v>
      </c>
      <c r="H26" s="102"/>
      <c r="I26" s="103" t="s">
        <v>337</v>
      </c>
      <c r="J26" s="103" t="s">
        <v>331</v>
      </c>
      <c r="K26" s="104">
        <v>76</v>
      </c>
      <c r="L26" s="104"/>
      <c r="M26" s="104">
        <f>IF(K26&lt;&gt;"",K26,L26)</f>
        <v>76</v>
      </c>
      <c r="N26" s="104">
        <v>30.76</v>
      </c>
      <c r="O26" s="105">
        <f>IFERROR(M26/N26-1,"-")</f>
        <v>1.4707412223667098</v>
      </c>
      <c r="P26" s="105">
        <f>IFERROR(G26/SUMIF($I$4:$I$88,I26,$G$4:$G$88),0)</f>
        <v>0.44838709677419353</v>
      </c>
      <c r="Q26" s="105">
        <f>IFERROR(P26*O26,0)</f>
        <v>0.65946138680313759</v>
      </c>
      <c r="R26">
        <v>4</v>
      </c>
      <c r="S26" t="str">
        <f t="shared" si="2"/>
        <v>Education</v>
      </c>
      <c r="T26" s="29">
        <f t="shared" si="3"/>
        <v>0.59695804720870482</v>
      </c>
      <c r="AJ26" t="s">
        <v>142</v>
      </c>
      <c r="AK26" t="s">
        <v>143</v>
      </c>
      <c r="AL26" t="s">
        <v>98</v>
      </c>
      <c r="AM26">
        <v>1.075</v>
      </c>
    </row>
    <row r="27" spans="1:39" x14ac:dyDescent="0.3">
      <c r="A27" t="str">
        <f>SUBSTITUTE(C27,"&lt;XBSP&gt;"," BZ Equity")</f>
        <v>SUZB3 BZ Equity</v>
      </c>
      <c r="B27" s="48" t="str">
        <f>SUBSTITUTE(C27,"&lt;XBSP&gt;","")</f>
        <v>SUZB3</v>
      </c>
      <c r="C27" s="106" t="s">
        <v>126</v>
      </c>
      <c r="D27" s="106" t="s">
        <v>372</v>
      </c>
      <c r="E27" s="107"/>
      <c r="F27" s="107">
        <v>1.1659999999999999</v>
      </c>
      <c r="G27" s="108">
        <v>1.166E-2</v>
      </c>
      <c r="H27" s="108"/>
      <c r="I27" s="109" t="s">
        <v>338</v>
      </c>
      <c r="J27" s="109" t="s">
        <v>331</v>
      </c>
      <c r="K27" s="104">
        <v>60</v>
      </c>
      <c r="L27" s="110"/>
      <c r="M27" s="110">
        <f>IF(K27&lt;&gt;"",K27,L27)</f>
        <v>60</v>
      </c>
      <c r="N27" s="104">
        <v>47.53</v>
      </c>
      <c r="O27" s="111">
        <f>IFERROR(M27/N27-1,"-")</f>
        <v>0.26236061434883218</v>
      </c>
      <c r="P27" s="111">
        <f>IFERROR(G27/SUMIF($I$4:$I$88,I27,$G$4:$G$88),0)</f>
        <v>0.66062322946175644</v>
      </c>
      <c r="Q27" s="111">
        <f>IFERROR(P27*O27,0)</f>
        <v>0.17332151633469595</v>
      </c>
      <c r="R27">
        <v>5</v>
      </c>
      <c r="S27" t="str">
        <f t="shared" si="2"/>
        <v>Sanitation</v>
      </c>
      <c r="T27" s="29">
        <f t="shared" si="3"/>
        <v>0.49646372187183785</v>
      </c>
      <c r="AJ27" t="s">
        <v>155</v>
      </c>
      <c r="AK27" t="s">
        <v>156</v>
      </c>
      <c r="AL27" t="s">
        <v>98</v>
      </c>
      <c r="AM27">
        <v>1.0649999999999999</v>
      </c>
    </row>
    <row r="28" spans="1:39" x14ac:dyDescent="0.3">
      <c r="A28" t="str">
        <f>SUBSTITUTE(C28,"&lt;XBSP&gt;"," BZ Equity")</f>
        <v>BBSE3 BZ Equity</v>
      </c>
      <c r="B28" s="48" t="str">
        <f>SUBSTITUTE(C28,"&lt;XBSP&gt;","")</f>
        <v>BBSE3</v>
      </c>
      <c r="C28" s="48" t="s">
        <v>144</v>
      </c>
      <c r="D28" s="48"/>
      <c r="E28" s="49"/>
      <c r="F28" s="49">
        <v>1.0760000000000003</v>
      </c>
      <c r="G28" s="102">
        <v>1.0760000000000002E-2</v>
      </c>
      <c r="H28" s="102"/>
      <c r="I28" s="103"/>
      <c r="J28" s="103"/>
      <c r="K28" s="104"/>
      <c r="L28" s="104">
        <v>38.571430206298828</v>
      </c>
      <c r="M28" s="104">
        <f>IF(K28&lt;&gt;"",K28,L28)</f>
        <v>38.571430206298828</v>
      </c>
      <c r="N28" s="104">
        <v>42.79</v>
      </c>
      <c r="O28" s="105">
        <f>IFERROR(M28/N28-1,"-")</f>
        <v>-9.8587749326972896E-2</v>
      </c>
      <c r="P28" s="105">
        <f>IFERROR(G28/SUMIF($I$4:$I$88,I28,$G$4:$G$88),0)</f>
        <v>0</v>
      </c>
      <c r="Q28" s="105">
        <f>IFERROR(P28*O28,0)</f>
        <v>0</v>
      </c>
      <c r="R28">
        <v>6</v>
      </c>
      <c r="S28" t="str">
        <f t="shared" si="2"/>
        <v>Income Properties</v>
      </c>
      <c r="T28" s="29">
        <f t="shared" si="3"/>
        <v>0.42702706526550194</v>
      </c>
      <c r="AJ28" t="s">
        <v>148</v>
      </c>
      <c r="AK28" t="s">
        <v>106</v>
      </c>
      <c r="AL28" t="s">
        <v>98</v>
      </c>
      <c r="AM28">
        <v>1.028</v>
      </c>
    </row>
    <row r="29" spans="1:39" x14ac:dyDescent="0.3">
      <c r="A29" t="str">
        <f>SUBSTITUTE(C29,"&lt;XBSP&gt;"," BZ Equity")</f>
        <v>RAIL3 BZ Equity</v>
      </c>
      <c r="B29" s="48" t="str">
        <f>SUBSTITUTE(C29,"&lt;XBSP&gt;","")</f>
        <v>RAIL3</v>
      </c>
      <c r="C29" s="106" t="s">
        <v>132</v>
      </c>
      <c r="D29" s="106" t="s">
        <v>373</v>
      </c>
      <c r="E29" s="107"/>
      <c r="F29" s="107">
        <v>0.88200000000000012</v>
      </c>
      <c r="G29" s="108">
        <v>8.8200000000000014E-3</v>
      </c>
      <c r="H29" s="108"/>
      <c r="I29" s="109" t="s">
        <v>337</v>
      </c>
      <c r="J29" s="109" t="s">
        <v>331</v>
      </c>
      <c r="K29" s="104">
        <v>22</v>
      </c>
      <c r="L29" s="110"/>
      <c r="M29" s="110">
        <f>IF(K29&lt;&gt;"",K29,L29)</f>
        <v>22</v>
      </c>
      <c r="N29" s="104">
        <v>15.36</v>
      </c>
      <c r="O29" s="111">
        <f>IFERROR(M29/N29-1,"-")</f>
        <v>0.43229166666666674</v>
      </c>
      <c r="P29" s="111">
        <f>IFERROR(G29/SUMIF($I$4:$I$88,I29,$G$4:$G$88),0)</f>
        <v>0.31612903225806455</v>
      </c>
      <c r="Q29" s="111">
        <f>IFERROR(P29*O29,0)</f>
        <v>0.13665994623655917</v>
      </c>
      <c r="R29">
        <v>7</v>
      </c>
      <c r="S29" t="str">
        <f t="shared" si="2"/>
        <v>Utilities &amp; Energy</v>
      </c>
      <c r="T29" s="29">
        <f t="shared" si="3"/>
        <v>0.40412822192244102</v>
      </c>
      <c r="AJ29" t="s">
        <v>312</v>
      </c>
      <c r="AK29" t="s">
        <v>162</v>
      </c>
      <c r="AL29" t="s">
        <v>206</v>
      </c>
      <c r="AM29">
        <v>1.024</v>
      </c>
    </row>
    <row r="30" spans="1:39" x14ac:dyDescent="0.3">
      <c r="A30" t="str">
        <f>SUBSTITUTE(C30,"&lt;XBSP&gt;"," BZ Equity")</f>
        <v>VIVT3 BZ Equity</v>
      </c>
      <c r="B30" s="48" t="str">
        <f>SUBSTITUTE(C30,"&lt;XBSP&gt;","")</f>
        <v>VIVT3</v>
      </c>
      <c r="C30" s="48" t="s">
        <v>142</v>
      </c>
      <c r="D30" s="48" t="s">
        <v>374</v>
      </c>
      <c r="E30" s="49"/>
      <c r="F30" s="49">
        <v>0.87400000000000011</v>
      </c>
      <c r="G30" s="102">
        <v>8.7400000000000012E-3</v>
      </c>
      <c r="H30" s="102"/>
      <c r="I30" s="103" t="s">
        <v>340</v>
      </c>
      <c r="J30" s="103" t="s">
        <v>331</v>
      </c>
      <c r="K30" s="104">
        <v>36.5</v>
      </c>
      <c r="L30" s="104"/>
      <c r="M30" s="104">
        <f>IF(K30&lt;&gt;"",K30,L30)</f>
        <v>36.5</v>
      </c>
      <c r="N30" s="104">
        <v>31.08</v>
      </c>
      <c r="O30" s="105">
        <f>IFERROR(M30/N30-1,"-")</f>
        <v>0.17438867438867445</v>
      </c>
      <c r="P30" s="105">
        <f>IFERROR(G30/SUMIF($I$4:$I$88,I30,$G$4:$G$88),0)</f>
        <v>0.39122649955237238</v>
      </c>
      <c r="Q30" s="105">
        <f>IFERROR(P30*O30,0)</f>
        <v>6.8225470642659561E-2</v>
      </c>
      <c r="R30">
        <v>8</v>
      </c>
      <c r="S30" t="str">
        <f t="shared" si="2"/>
        <v>Metals &amp; Mining</v>
      </c>
      <c r="T30" s="29">
        <f t="shared" si="3"/>
        <v>0.30881388336476173</v>
      </c>
      <c r="AJ30" t="s">
        <v>136</v>
      </c>
      <c r="AK30" t="s">
        <v>137</v>
      </c>
      <c r="AL30" t="s">
        <v>101</v>
      </c>
      <c r="AM30">
        <v>1.0149999999999999</v>
      </c>
    </row>
    <row r="31" spans="1:39" x14ac:dyDescent="0.3">
      <c r="A31" t="str">
        <f>SUBSTITUTE(C31,"&lt;XBSP&gt;"," BZ Equity")</f>
        <v>BBDC3 BZ Equity</v>
      </c>
      <c r="B31" s="48" t="str">
        <f>SUBSTITUTE(C31,"&lt;XBSP&gt;","")</f>
        <v>BBDC3</v>
      </c>
      <c r="C31" s="106" t="s">
        <v>148</v>
      </c>
      <c r="D31" s="106" t="s">
        <v>106</v>
      </c>
      <c r="E31" s="107"/>
      <c r="F31" s="107">
        <v>0.84900000000000009</v>
      </c>
      <c r="G31" s="108">
        <v>8.490000000000001E-3</v>
      </c>
      <c r="H31" s="108"/>
      <c r="I31" s="109" t="s">
        <v>330</v>
      </c>
      <c r="J31" s="109" t="s">
        <v>329</v>
      </c>
      <c r="K31" s="104">
        <v>21</v>
      </c>
      <c r="L31" s="110"/>
      <c r="M31" s="110">
        <f>IF(K31&lt;&gt;"",K31,L31)</f>
        <v>21</v>
      </c>
      <c r="N31" s="104">
        <v>14.23</v>
      </c>
      <c r="O31" s="111">
        <f>IFERROR(M31/N31-1,"-")</f>
        <v>0.47575544624033728</v>
      </c>
      <c r="P31" s="111">
        <f>IFERROR(G31/SUMIF($I$4:$I$88,I31,$G$4:$G$88),0)</f>
        <v>4.6066196418882259E-2</v>
      </c>
      <c r="Q31" s="111">
        <f>IFERROR(P31*O31,0)</f>
        <v>2.1916243833860358E-2</v>
      </c>
      <c r="R31">
        <v>9</v>
      </c>
      <c r="S31" t="str">
        <f>VLOOKUP($R31,$R$4:$T$21,2,FALSE)</f>
        <v>Ibovespa</v>
      </c>
      <c r="T31" s="29">
        <f t="shared" si="3"/>
        <v>0.28113920956532795</v>
      </c>
      <c r="AJ31" t="s">
        <v>134</v>
      </c>
      <c r="AK31" t="s">
        <v>135</v>
      </c>
      <c r="AL31" t="s">
        <v>98</v>
      </c>
      <c r="AM31">
        <v>1.002</v>
      </c>
    </row>
    <row r="32" spans="1:39" x14ac:dyDescent="0.3">
      <c r="A32" t="str">
        <f>SUBSTITUTE(C32,"&lt;XBSP&gt;"," BZ Equity")</f>
        <v>RADL3 BZ Equity</v>
      </c>
      <c r="B32" s="48" t="str">
        <f>SUBSTITUTE(C32,"&lt;XBSP&gt;","")</f>
        <v>RADL3</v>
      </c>
      <c r="C32" s="48" t="s">
        <v>128</v>
      </c>
      <c r="D32" s="48" t="s">
        <v>375</v>
      </c>
      <c r="E32" s="49"/>
      <c r="F32" s="49">
        <v>0.83400000000000007</v>
      </c>
      <c r="G32" s="102">
        <v>8.3400000000000002E-3</v>
      </c>
      <c r="H32" s="102"/>
      <c r="I32" s="103" t="s">
        <v>339</v>
      </c>
      <c r="J32" s="103" t="s">
        <v>331</v>
      </c>
      <c r="K32" s="104">
        <v>26</v>
      </c>
      <c r="L32" s="116"/>
      <c r="M32" s="116">
        <f>IF(K32&lt;&gt;"",K32,L32)</f>
        <v>26</v>
      </c>
      <c r="N32" s="104">
        <v>16.14</v>
      </c>
      <c r="O32" s="105">
        <f>IFERROR(M32/N32-1,"-")</f>
        <v>0.61090458488228006</v>
      </c>
      <c r="P32" s="105">
        <f>IFERROR(G32/SUMIF($I$4:$I$88,I32,$G$4:$G$88),0)</f>
        <v>0.32757266300078552</v>
      </c>
      <c r="Q32" s="105">
        <f>IFERROR(P32*O32,0)</f>
        <v>0.2001156417092779</v>
      </c>
      <c r="R32">
        <v>10</v>
      </c>
      <c r="S32" t="str">
        <f t="shared" si="2"/>
        <v>Pulp &amp; Paper</v>
      </c>
      <c r="T32" s="29">
        <f t="shared" si="3"/>
        <v>0.2699748578370223</v>
      </c>
      <c r="AJ32" t="s">
        <v>160</v>
      </c>
      <c r="AK32" t="s">
        <v>161</v>
      </c>
      <c r="AL32" t="s">
        <v>101</v>
      </c>
      <c r="AM32">
        <v>0.93400000000000005</v>
      </c>
    </row>
    <row r="33" spans="1:39" x14ac:dyDescent="0.3">
      <c r="A33" t="str">
        <f>SUBSTITUTE(C33,"&lt;XBSP&gt;"," BZ Equity")</f>
        <v>TOTS3 BZ Equity</v>
      </c>
      <c r="B33" s="48" t="str">
        <f>SUBSTITUTE(C33,"&lt;XBSP&gt;","")</f>
        <v>TOTS3</v>
      </c>
      <c r="C33" s="106" t="s">
        <v>155</v>
      </c>
      <c r="D33" s="106" t="s">
        <v>376</v>
      </c>
      <c r="E33" s="107"/>
      <c r="F33" s="107">
        <v>0.79100000000000026</v>
      </c>
      <c r="G33" s="108">
        <v>7.9100000000000021E-3</v>
      </c>
      <c r="H33" s="108"/>
      <c r="I33" s="109" t="s">
        <v>340</v>
      </c>
      <c r="J33" s="109" t="s">
        <v>331</v>
      </c>
      <c r="K33" s="104">
        <v>47</v>
      </c>
      <c r="L33" s="110"/>
      <c r="M33" s="110">
        <f>IF(K33&lt;&gt;"",K33,L33)</f>
        <v>47</v>
      </c>
      <c r="N33" s="104">
        <v>35.35</v>
      </c>
      <c r="O33" s="111">
        <f>IFERROR(M33/N33-1,"-")</f>
        <v>0.32956152758132951</v>
      </c>
      <c r="P33" s="111">
        <f>IFERROR(G33/SUMIF($I$4:$I$88,I33,$G$4:$G$88),0)</f>
        <v>0.35407341092211281</v>
      </c>
      <c r="Q33" s="111">
        <f>IFERROR(P33*O33,0)</f>
        <v>0.1166889741794233</v>
      </c>
      <c r="R33">
        <v>11</v>
      </c>
      <c r="S33" t="str">
        <f t="shared" si="2"/>
        <v>Banks</v>
      </c>
      <c r="T33" s="29">
        <f t="shared" si="3"/>
        <v>0.23052042699268147</v>
      </c>
      <c r="AJ33" t="s">
        <v>144</v>
      </c>
      <c r="AK33" t="s">
        <v>145</v>
      </c>
      <c r="AL33" t="s">
        <v>98</v>
      </c>
      <c r="AM33">
        <v>0.88700000000000001</v>
      </c>
    </row>
    <row r="34" spans="1:39" x14ac:dyDescent="0.3">
      <c r="A34" t="str">
        <f>SUBSTITUTE(C34,"&lt;XBSP&gt;"," BZ Equity")</f>
        <v>CMIG4 BZ Equity</v>
      </c>
      <c r="B34" s="48" t="str">
        <f>SUBSTITUTE(C34,"&lt;XBSP&gt;","")</f>
        <v>CMIG4</v>
      </c>
      <c r="C34" s="48" t="s">
        <v>160</v>
      </c>
      <c r="D34" s="48" t="s">
        <v>161</v>
      </c>
      <c r="E34" s="49"/>
      <c r="F34" s="49">
        <v>0.76300000000000012</v>
      </c>
      <c r="G34" s="102">
        <v>7.6300000000000014E-3</v>
      </c>
      <c r="H34" s="102"/>
      <c r="I34" s="103" t="s">
        <v>363</v>
      </c>
      <c r="J34" s="103" t="s">
        <v>329</v>
      </c>
      <c r="K34" s="104">
        <v>14.59000061658899</v>
      </c>
      <c r="L34" s="104"/>
      <c r="M34" s="104">
        <f>IF(K34&lt;&gt;"",K34,L34)</f>
        <v>14.59000061658899</v>
      </c>
      <c r="N34" s="104">
        <v>10.45</v>
      </c>
      <c r="O34" s="105">
        <f>IFERROR(M34/N34-1,"-")</f>
        <v>0.39617230780755897</v>
      </c>
      <c r="P34" s="105">
        <f>IFERROR(G34/SUMIF($I$4:$I$88,I34,$G$4:$G$88),0)</f>
        <v>5.6251843114125635E-2</v>
      </c>
      <c r="Q34" s="105">
        <f>IFERROR(P34*O34,0)</f>
        <v>2.2285422504951899E-2</v>
      </c>
      <c r="R34">
        <v>12</v>
      </c>
      <c r="S34" t="str">
        <f t="shared" si="2"/>
        <v>TMT</v>
      </c>
      <c r="T34" s="29">
        <f t="shared" si="3"/>
        <v>0.22450617362523362</v>
      </c>
      <c r="AJ34" t="s">
        <v>170</v>
      </c>
      <c r="AK34" t="s">
        <v>171</v>
      </c>
      <c r="AL34" t="s">
        <v>98</v>
      </c>
      <c r="AM34">
        <v>0.84599999999999997</v>
      </c>
    </row>
    <row r="35" spans="1:39" x14ac:dyDescent="0.3">
      <c r="A35" t="str">
        <f>SUBSTITUTE(C35,"&lt;XBSP&gt;"," BZ Equity")</f>
        <v>CSMG3 BZ Equity</v>
      </c>
      <c r="B35" s="48" t="str">
        <f>SUBSTITUTE(C35,"&lt;XBSP&gt;","")</f>
        <v>CSMG3</v>
      </c>
      <c r="C35" s="106" t="s">
        <v>377</v>
      </c>
      <c r="D35" s="106" t="s">
        <v>378</v>
      </c>
      <c r="E35" s="107"/>
      <c r="F35" s="107">
        <v>0.75500000000000012</v>
      </c>
      <c r="G35" s="108">
        <v>7.5500000000000012E-3</v>
      </c>
      <c r="H35" s="108"/>
      <c r="I35" s="109" t="s">
        <v>362</v>
      </c>
      <c r="J35" s="109" t="s">
        <v>331</v>
      </c>
      <c r="K35" s="104">
        <v>88.322034410580343</v>
      </c>
      <c r="L35" s="110"/>
      <c r="M35" s="110">
        <f>IF(K35&lt;&gt;"",K35,L35)</f>
        <v>88.322034410580343</v>
      </c>
      <c r="N35" s="104">
        <v>50.45</v>
      </c>
      <c r="O35" s="111">
        <f>IFERROR(M35/N35-1,"-")</f>
        <v>0.75068452746442693</v>
      </c>
      <c r="P35" s="111">
        <f>IFERROR(G35/SUMIF($I$4:$I$88,I35,$G$4:$G$88),0)</f>
        <v>0.1732843699793436</v>
      </c>
      <c r="Q35" s="111">
        <f>IFERROR(P35*O35,0)</f>
        <v>0.13008189539491447</v>
      </c>
      <c r="R35">
        <v>13</v>
      </c>
      <c r="S35" t="str">
        <f t="shared" si="2"/>
        <v>Health Care</v>
      </c>
      <c r="T35" s="29">
        <f t="shared" si="3"/>
        <v>0.21702274991836962</v>
      </c>
      <c r="AJ35" t="s">
        <v>132</v>
      </c>
      <c r="AK35" t="s">
        <v>133</v>
      </c>
      <c r="AL35" t="s">
        <v>98</v>
      </c>
      <c r="AM35">
        <v>0.77700000000000002</v>
      </c>
    </row>
    <row r="36" spans="1:39" x14ac:dyDescent="0.3">
      <c r="A36" t="str">
        <f>SUBSTITUTE(C36,"&lt;XBSP&gt;"," BZ Equity")</f>
        <v>ENGI11 BZ Equity</v>
      </c>
      <c r="B36" s="48" t="str">
        <f>SUBSTITUTE(C36,"&lt;XBSP&gt;","")</f>
        <v>ENGI11</v>
      </c>
      <c r="C36" s="48" t="s">
        <v>163</v>
      </c>
      <c r="D36" s="48" t="s">
        <v>164</v>
      </c>
      <c r="E36" s="49"/>
      <c r="F36" s="49">
        <v>0.68500000000000016</v>
      </c>
      <c r="G36" s="102">
        <v>6.8500000000000019E-3</v>
      </c>
      <c r="H36" s="102"/>
      <c r="I36" s="103" t="s">
        <v>363</v>
      </c>
      <c r="J36" s="103" t="s">
        <v>331</v>
      </c>
      <c r="K36" s="104">
        <v>88.27077732474396</v>
      </c>
      <c r="L36" s="104"/>
      <c r="M36" s="104">
        <f>IF(K36&lt;&gt;"",K36,L36)</f>
        <v>88.27077732474396</v>
      </c>
      <c r="N36" s="104">
        <v>47.64</v>
      </c>
      <c r="O36" s="105">
        <f>IFERROR(M36/N36-1,"-")</f>
        <v>0.8528710605529799</v>
      </c>
      <c r="P36" s="105">
        <f>IFERROR(G36/SUMIF($I$4:$I$88,I36,$G$4:$G$88),0)</f>
        <v>5.050132704217046E-2</v>
      </c>
      <c r="Q36" s="105">
        <f>IFERROR(P36*O36,0)</f>
        <v>4.3071120353788801E-2</v>
      </c>
      <c r="R36">
        <v>14</v>
      </c>
      <c r="S36" t="str">
        <f>VLOOKUP($R36,$R$4:$T$21,2,FALSE)</f>
        <v>Oil, Gas &amp; Petrochemicals</v>
      </c>
      <c r="T36" s="29">
        <f t="shared" si="3"/>
        <v>0.1666907852025469</v>
      </c>
      <c r="AJ36" t="s">
        <v>313</v>
      </c>
      <c r="AK36" t="s">
        <v>221</v>
      </c>
      <c r="AL36" t="s">
        <v>98</v>
      </c>
      <c r="AM36">
        <v>0.77100000000000002</v>
      </c>
    </row>
    <row r="37" spans="1:39" x14ac:dyDescent="0.3">
      <c r="A37" t="str">
        <f>SUBSTITUTE(C37,"&lt;XBSP&gt;"," BZ Equity")</f>
        <v>KLBN11 BZ Equity</v>
      </c>
      <c r="B37" s="48" t="str">
        <f>SUBSTITUTE(C37,"&lt;XBSP&gt;","")</f>
        <v>KLBN11</v>
      </c>
      <c r="C37" s="106" t="s">
        <v>157</v>
      </c>
      <c r="D37" s="106" t="s">
        <v>379</v>
      </c>
      <c r="E37" s="107"/>
      <c r="F37" s="107">
        <v>0.59900000000000009</v>
      </c>
      <c r="G37" s="108">
        <v>5.9900000000000005E-3</v>
      </c>
      <c r="H37" s="108"/>
      <c r="I37" s="109" t="s">
        <v>338</v>
      </c>
      <c r="J37" s="109" t="s">
        <v>331</v>
      </c>
      <c r="K37" s="104">
        <v>24</v>
      </c>
      <c r="L37" s="110"/>
      <c r="M37" s="110">
        <f>IF(K37&lt;&gt;"",K37,L37)</f>
        <v>24</v>
      </c>
      <c r="N37" s="104">
        <v>18.68</v>
      </c>
      <c r="O37" s="111">
        <f>IFERROR(M37/N37-1,"-")</f>
        <v>0.28479657387580293</v>
      </c>
      <c r="P37" s="111">
        <f>IFERROR(G37/SUMIF($I$4:$I$88,I37,$G$4:$G$88),0)</f>
        <v>0.33937677053824367</v>
      </c>
      <c r="Q37" s="111">
        <f>IFERROR(P37*O37,0)</f>
        <v>9.6653341502326337E-2</v>
      </c>
      <c r="R37">
        <v>15</v>
      </c>
      <c r="S37" t="str">
        <f t="shared" si="2"/>
        <v>Capital Goods</v>
      </c>
      <c r="T37" s="29">
        <f t="shared" si="3"/>
        <v>0.16154440614538623</v>
      </c>
      <c r="AJ37" t="s">
        <v>163</v>
      </c>
      <c r="AK37" t="s">
        <v>164</v>
      </c>
      <c r="AL37" t="s">
        <v>159</v>
      </c>
      <c r="AM37">
        <v>0.74199999999999999</v>
      </c>
    </row>
    <row r="38" spans="1:39" x14ac:dyDescent="0.3">
      <c r="A38" t="str">
        <f>SUBSTITUTE(C38,"&lt;XBSP&gt;"," BZ Equity")</f>
        <v>MOTV3 BZ Equity</v>
      </c>
      <c r="B38" s="48" t="str">
        <f>SUBSTITUTE(C38,"&lt;XBSP&gt;","")</f>
        <v>MOTV3</v>
      </c>
      <c r="C38" s="106" t="s">
        <v>301</v>
      </c>
      <c r="D38" s="106" t="s">
        <v>380</v>
      </c>
      <c r="E38" s="107"/>
      <c r="F38" s="107">
        <v>0.59800000000000009</v>
      </c>
      <c r="G38" s="108">
        <v>5.9800000000000009E-3</v>
      </c>
      <c r="H38" s="108"/>
      <c r="I38" s="109" t="s">
        <v>337</v>
      </c>
      <c r="J38" s="109" t="s">
        <v>331</v>
      </c>
      <c r="K38" s="104">
        <v>18</v>
      </c>
      <c r="L38" s="110"/>
      <c r="M38" s="110">
        <f>IF(K38&lt;&gt;"",K38,L38)</f>
        <v>18</v>
      </c>
      <c r="N38" s="104">
        <v>14.9</v>
      </c>
      <c r="O38" s="111">
        <f>IFERROR(M38/N38-1,"-")</f>
        <v>0.20805369127516782</v>
      </c>
      <c r="P38" s="111">
        <f>IFERROR(G38/SUMIF($I$4:$I$88,I38,$G$4:$G$88),0)</f>
        <v>0.21433691756272405</v>
      </c>
      <c r="Q38" s="111">
        <f>IFERROR(P38*O38,0)</f>
        <v>4.4593586875466086E-2</v>
      </c>
      <c r="R38">
        <v>17</v>
      </c>
      <c r="S38" t="str">
        <f t="shared" si="2"/>
        <v>Agribusiness</v>
      </c>
      <c r="T38" s="29">
        <f t="shared" si="3"/>
        <v>0</v>
      </c>
      <c r="AJ38" t="s">
        <v>301</v>
      </c>
      <c r="AK38" t="s">
        <v>302</v>
      </c>
      <c r="AL38" t="s">
        <v>98</v>
      </c>
      <c r="AM38">
        <v>0.66900000000000004</v>
      </c>
    </row>
    <row r="39" spans="1:39" x14ac:dyDescent="0.3">
      <c r="A39" t="str">
        <f>SUBSTITUTE(C39,"&lt;XBSP&gt;"," BZ Equity")</f>
        <v>TIMS3 BZ Equity</v>
      </c>
      <c r="B39" s="48" t="str">
        <f>SUBSTITUTE(C39,"&lt;XBSP&gt;","")</f>
        <v>TIMS3</v>
      </c>
      <c r="C39" s="48" t="s">
        <v>170</v>
      </c>
      <c r="D39" s="48" t="s">
        <v>171</v>
      </c>
      <c r="E39" s="49"/>
      <c r="F39" s="49">
        <v>0.56900000000000006</v>
      </c>
      <c r="G39" s="102">
        <v>5.6900000000000006E-3</v>
      </c>
      <c r="H39" s="102"/>
      <c r="I39" s="103" t="s">
        <v>340</v>
      </c>
      <c r="J39" s="103" t="s">
        <v>329</v>
      </c>
      <c r="K39" s="104">
        <v>21.965</v>
      </c>
      <c r="L39" s="104"/>
      <c r="M39" s="104">
        <f>IF(K39&lt;&gt;"",K39,L39)</f>
        <v>21.965</v>
      </c>
      <c r="N39" s="104">
        <v>19.010000000000002</v>
      </c>
      <c r="O39" s="105">
        <f>IFERROR(M39/N39-1,"-")</f>
        <v>0.1554445028932141</v>
      </c>
      <c r="P39" s="105">
        <f>IFERROR(G39/SUMIF($I$4:$I$88,I39,$G$4:$G$88),0)</f>
        <v>0.25470008952551476</v>
      </c>
      <c r="Q39" s="105">
        <f>IFERROR(P39*O39,0)</f>
        <v>3.9591728803150768E-2</v>
      </c>
      <c r="R39">
        <v>18</v>
      </c>
      <c r="S39" t="str">
        <f t="shared" si="2"/>
        <v>Food &amp; Beverages</v>
      </c>
      <c r="T39" s="29">
        <f t="shared" si="3"/>
        <v>-6.9552387633352628E-2</v>
      </c>
      <c r="AJ39" t="s">
        <v>166</v>
      </c>
      <c r="AK39" t="s">
        <v>167</v>
      </c>
      <c r="AL39" t="s">
        <v>98</v>
      </c>
      <c r="AM39">
        <v>0.64400000000000002</v>
      </c>
    </row>
    <row r="40" spans="1:39" x14ac:dyDescent="0.3">
      <c r="A40" t="str">
        <f>SUBSTITUTE(C40,"&lt;XBSP&gt;"," BZ Equity")</f>
        <v>CXSE3 BZ Equity</v>
      </c>
      <c r="B40" s="48" t="str">
        <f>SUBSTITUTE(C40,"&lt;XBSP&gt;","")</f>
        <v>CXSE3</v>
      </c>
      <c r="C40" s="106" t="s">
        <v>256</v>
      </c>
      <c r="D40" s="106" t="s">
        <v>381</v>
      </c>
      <c r="E40" s="107"/>
      <c r="F40" s="107">
        <v>0.51200000000000001</v>
      </c>
      <c r="G40" s="108">
        <v>5.1200000000000004E-3</v>
      </c>
      <c r="H40" s="108"/>
      <c r="I40" s="109" t="s">
        <v>333</v>
      </c>
      <c r="J40" s="109" t="s">
        <v>331</v>
      </c>
      <c r="K40" s="104">
        <v>25</v>
      </c>
      <c r="L40" s="110"/>
      <c r="M40" s="110">
        <f>IF(K40&lt;&gt;"",K40,L40)</f>
        <v>25</v>
      </c>
      <c r="N40" s="104">
        <v>21.59</v>
      </c>
      <c r="O40" s="111">
        <f>IFERROR(M40/N40-1,"-")</f>
        <v>0.15794349235757288</v>
      </c>
      <c r="P40" s="111">
        <f>IFERROR(G40/SUMIF($I$4:$I$88,I40,$G$4:$G$88),0)</f>
        <v>0.14418473669388904</v>
      </c>
      <c r="Q40" s="111">
        <f>IFERROR(P40*O40,0)</f>
        <v>2.277304085808992E-2</v>
      </c>
      <c r="AJ40" t="s">
        <v>157</v>
      </c>
      <c r="AK40" t="s">
        <v>158</v>
      </c>
      <c r="AL40" t="s">
        <v>159</v>
      </c>
      <c r="AM40">
        <v>0.60399999999999998</v>
      </c>
    </row>
    <row r="41" spans="1:39" x14ac:dyDescent="0.3">
      <c r="A41" t="str">
        <f>SUBSTITUTE(C41,"&lt;XBSP&gt;"," BZ Equity")</f>
        <v>ALOS3 BZ Equity</v>
      </c>
      <c r="B41" s="48" t="str">
        <f>SUBSTITUTE(C41,"&lt;XBSP&gt;","")</f>
        <v>ALOS3</v>
      </c>
      <c r="C41" s="48" t="s">
        <v>172</v>
      </c>
      <c r="D41" s="48" t="s">
        <v>173</v>
      </c>
      <c r="E41" s="49"/>
      <c r="F41" s="49">
        <v>0.50700000000000012</v>
      </c>
      <c r="G41" s="102">
        <v>5.0700000000000007E-3</v>
      </c>
      <c r="H41" s="102"/>
      <c r="I41" s="103" t="s">
        <v>361</v>
      </c>
      <c r="J41" s="103" t="s">
        <v>331</v>
      </c>
      <c r="K41" s="104">
        <v>38</v>
      </c>
      <c r="L41" s="104"/>
      <c r="M41" s="104">
        <f>IF(K41&lt;&gt;"",K41,L41)</f>
        <v>38</v>
      </c>
      <c r="N41" s="104">
        <v>25.85</v>
      </c>
      <c r="O41" s="105">
        <f>IFERROR(M41/N41-1,"-")</f>
        <v>0.47001934235976783</v>
      </c>
      <c r="P41" s="105">
        <f>IFERROR(G41/SUMIF($I$4:$I$88,I41,$G$4:$G$88),0)</f>
        <v>0.46513761467889903</v>
      </c>
      <c r="Q41" s="105">
        <f>IFERROR(P41*O41,0)</f>
        <v>0.21862367575816721</v>
      </c>
      <c r="AJ41" t="s">
        <v>153</v>
      </c>
      <c r="AK41" t="s">
        <v>154</v>
      </c>
      <c r="AL41" t="s">
        <v>98</v>
      </c>
      <c r="AM41">
        <v>0.55700000000000005</v>
      </c>
    </row>
    <row r="42" spans="1:39" x14ac:dyDescent="0.3">
      <c r="A42" t="str">
        <f>SUBSTITUTE(C42,"&lt;XBSP&gt;"," BZ Equity")</f>
        <v>MBRF3 BZ Equity</v>
      </c>
      <c r="B42" s="48" t="str">
        <f>SUBSTITUTE(C42,"&lt;XBSP&gt;","")</f>
        <v>MBRF3</v>
      </c>
      <c r="C42" s="106" t="s">
        <v>313</v>
      </c>
      <c r="D42" s="106" t="s">
        <v>382</v>
      </c>
      <c r="E42" s="107"/>
      <c r="F42" s="107">
        <v>0.49400000000000011</v>
      </c>
      <c r="G42" s="108">
        <v>4.9400000000000008E-3</v>
      </c>
      <c r="H42" s="108"/>
      <c r="I42" s="109" t="s">
        <v>359</v>
      </c>
      <c r="J42" s="109" t="s">
        <v>329</v>
      </c>
      <c r="K42" s="104">
        <v>20.45</v>
      </c>
      <c r="L42" s="110"/>
      <c r="M42" s="110">
        <f>IF(K42&lt;&gt;"",K42,L42)</f>
        <v>20.45</v>
      </c>
      <c r="N42" s="104">
        <v>16.29</v>
      </c>
      <c r="O42" s="111">
        <f>IFERROR(M42/N42-1,"-")</f>
        <v>0.25537139349294047</v>
      </c>
      <c r="P42" s="111">
        <f>IFERROR(G42/SUMIF($I$4:$I$88,I42,$G$4:$G$88),0)</f>
        <v>0.16101694915254239</v>
      </c>
      <c r="Q42" s="111">
        <f>IFERROR(P42*O42,0)</f>
        <v>4.111912268106669E-2</v>
      </c>
      <c r="AJ42" t="s">
        <v>172</v>
      </c>
      <c r="AK42" t="s">
        <v>173</v>
      </c>
      <c r="AL42" t="s">
        <v>98</v>
      </c>
      <c r="AM42">
        <v>0.55600000000000005</v>
      </c>
    </row>
    <row r="43" spans="1:39" x14ac:dyDescent="0.3">
      <c r="A43" t="str">
        <f>SUBSTITUTE(C43,"&lt;XBSP&gt;"," BZ Equity")</f>
        <v>EGIE3 BZ Equity</v>
      </c>
      <c r="B43" s="48" t="str">
        <f>SUBSTITUTE(C43,"&lt;XBSP&gt;","")</f>
        <v>EGIE3</v>
      </c>
      <c r="C43" s="48" t="s">
        <v>174</v>
      </c>
      <c r="D43" s="48" t="s">
        <v>175</v>
      </c>
      <c r="E43" s="49"/>
      <c r="F43" s="49">
        <v>0.49300000000000005</v>
      </c>
      <c r="G43" s="102">
        <v>4.9300000000000004E-3</v>
      </c>
      <c r="H43" s="102"/>
      <c r="I43" s="103" t="s">
        <v>363</v>
      </c>
      <c r="J43" s="103" t="s">
        <v>329</v>
      </c>
      <c r="K43" s="104">
        <v>31.484329977192061</v>
      </c>
      <c r="L43" s="104"/>
      <c r="M43" s="104">
        <f>IF(K43&lt;&gt;"",K43,L43)</f>
        <v>31.484329977192061</v>
      </c>
      <c r="N43" s="104">
        <v>28</v>
      </c>
      <c r="O43" s="105">
        <f>IFERROR(M43/N43-1,"-")</f>
        <v>0.12444035632828787</v>
      </c>
      <c r="P43" s="105">
        <f>IFERROR(G43/SUMIF($I$4:$I$88,I43,$G$4:$G$88),0)</f>
        <v>3.6346210557357712E-2</v>
      </c>
      <c r="Q43" s="105">
        <f>IFERROR(P43*O43,0)</f>
        <v>4.5229353929405721E-3</v>
      </c>
      <c r="AJ43" t="s">
        <v>176</v>
      </c>
      <c r="AK43" t="s">
        <v>177</v>
      </c>
      <c r="AL43" t="s">
        <v>121</v>
      </c>
      <c r="AM43">
        <v>0.51300000000000001</v>
      </c>
    </row>
    <row r="44" spans="1:39" x14ac:dyDescent="0.3">
      <c r="A44" t="str">
        <f>SUBSTITUTE(C44,"&lt;XBSP&gt;"," BZ Equity")</f>
        <v>ISAE4 BZ Equity</v>
      </c>
      <c r="B44" s="48" t="str">
        <f>SUBSTITUTE(C44,"&lt;XBSP&gt;","")</f>
        <v>ISAE4</v>
      </c>
      <c r="C44" s="106" t="s">
        <v>268</v>
      </c>
      <c r="D44" s="106" t="s">
        <v>383</v>
      </c>
      <c r="E44" s="107"/>
      <c r="F44" s="107">
        <v>0.48400000000000004</v>
      </c>
      <c r="G44" s="108">
        <v>4.8400000000000006E-3</v>
      </c>
      <c r="H44" s="108"/>
      <c r="I44" s="109" t="s">
        <v>363</v>
      </c>
      <c r="J44" s="109" t="s">
        <v>329</v>
      </c>
      <c r="K44" s="104">
        <v>32.284301040036979</v>
      </c>
      <c r="L44" s="110"/>
      <c r="M44" s="110">
        <f>IF(K44&lt;&gt;"",K44,L44)</f>
        <v>32.284301040036979</v>
      </c>
      <c r="N44" s="104">
        <v>25.61</v>
      </c>
      <c r="O44" s="111">
        <f>IFERROR(M44/N44-1,"-")</f>
        <v>0.26061308239113545</v>
      </c>
      <c r="P44" s="111">
        <f>IFERROR(G44/SUMIF($I$4:$I$88,I44,$G$4:$G$88),0)</f>
        <v>3.5682689472132115E-2</v>
      </c>
      <c r="Q44" s="111">
        <f>IFERROR(P44*O44,0)</f>
        <v>9.2993756913380687E-3</v>
      </c>
      <c r="AJ44" t="s">
        <v>174</v>
      </c>
      <c r="AK44" t="s">
        <v>175</v>
      </c>
      <c r="AL44" t="s">
        <v>98</v>
      </c>
      <c r="AM44">
        <v>0.46899999999999997</v>
      </c>
    </row>
    <row r="45" spans="1:39" x14ac:dyDescent="0.3">
      <c r="A45" t="str">
        <f>SUBSTITUTE(C45,"&lt;XBSP&gt;"," BZ Equity")</f>
        <v>ASAI3 BZ Equity</v>
      </c>
      <c r="B45" s="48" t="str">
        <f>SUBSTITUTE(C45,"&lt;XBSP&gt;","")</f>
        <v>ASAI3</v>
      </c>
      <c r="C45" s="48" t="s">
        <v>153</v>
      </c>
      <c r="D45" s="48" t="s">
        <v>154</v>
      </c>
      <c r="E45" s="49"/>
      <c r="F45" s="49">
        <v>0.42500000000000004</v>
      </c>
      <c r="G45" s="102">
        <v>4.2500000000000003E-3</v>
      </c>
      <c r="H45" s="102"/>
      <c r="I45" s="103" t="s">
        <v>339</v>
      </c>
      <c r="J45" s="103" t="s">
        <v>331</v>
      </c>
      <c r="K45" s="104">
        <v>10.5</v>
      </c>
      <c r="L45" s="104"/>
      <c r="M45" s="104">
        <f>IF(K45&lt;&gt;"",K45,L45)</f>
        <v>10.5</v>
      </c>
      <c r="N45" s="104">
        <v>8</v>
      </c>
      <c r="O45" s="105">
        <f>IFERROR(M45/N45-1,"-")</f>
        <v>0.3125</v>
      </c>
      <c r="P45" s="105">
        <f>IFERROR(G45/SUMIF($I$4:$I$88,I45,$G$4:$G$88),0)</f>
        <v>0.16692851531814609</v>
      </c>
      <c r="Q45" s="105">
        <f>IFERROR(P45*O45,0)</f>
        <v>5.2165161036920656E-2</v>
      </c>
      <c r="AJ45" t="s">
        <v>268</v>
      </c>
      <c r="AK45" t="s">
        <v>269</v>
      </c>
      <c r="AL45" t="s">
        <v>101</v>
      </c>
      <c r="AM45">
        <v>0.46200000000000002</v>
      </c>
    </row>
    <row r="46" spans="1:39" x14ac:dyDescent="0.3">
      <c r="A46" t="str">
        <f>SUBSTITUTE(C46,"&lt;XBSP&gt;"," BZ Equity")</f>
        <v>FLRY3 BZ Equity</v>
      </c>
      <c r="B46" s="48" t="str">
        <f>SUBSTITUTE(C46,"&lt;XBSP&gt;","")</f>
        <v>FLRY3</v>
      </c>
      <c r="C46" s="106" t="s">
        <v>194</v>
      </c>
      <c r="D46" s="106" t="s">
        <v>195</v>
      </c>
      <c r="E46" s="107"/>
      <c r="F46" s="107">
        <v>0.39800000000000008</v>
      </c>
      <c r="G46" s="108">
        <v>3.9800000000000009E-3</v>
      </c>
      <c r="H46" s="108"/>
      <c r="I46" s="109" t="s">
        <v>336</v>
      </c>
      <c r="J46" s="109" t="s">
        <v>329</v>
      </c>
      <c r="K46" s="104">
        <v>20</v>
      </c>
      <c r="L46" s="110"/>
      <c r="M46" s="110">
        <f>IF(K46&lt;&gt;"",K46,L46)</f>
        <v>20</v>
      </c>
      <c r="N46" s="104">
        <v>22.92</v>
      </c>
      <c r="O46" s="111">
        <f>IFERROR(M46/N46-1,"-")</f>
        <v>-0.1273996509598605</v>
      </c>
      <c r="P46" s="111">
        <f>IFERROR(G46/SUMIF($I$4:$I$88,I46,$G$4:$G$88),0)</f>
        <v>0.18925344745601522</v>
      </c>
      <c r="Q46" s="111">
        <f>IFERROR(P46*O46,0)</f>
        <v>-2.4110823148846636E-2</v>
      </c>
      <c r="AJ46" t="s">
        <v>303</v>
      </c>
      <c r="AK46" t="s">
        <v>304</v>
      </c>
      <c r="AL46" t="s">
        <v>98</v>
      </c>
      <c r="AM46">
        <v>0.436</v>
      </c>
    </row>
    <row r="47" spans="1:39" x14ac:dyDescent="0.3">
      <c r="A47" t="str">
        <f>SUBSTITUTE(C47,"&lt;XBSP&gt;"," BZ Equity")</f>
        <v>GOAU4 BZ Equity</v>
      </c>
      <c r="B47" s="48" t="str">
        <f>SUBSTITUTE(C47,"&lt;XBSP&gt;","")</f>
        <v>GOAU4</v>
      </c>
      <c r="C47" s="48" t="s">
        <v>186</v>
      </c>
      <c r="D47" s="48" t="s">
        <v>384</v>
      </c>
      <c r="E47" s="49"/>
      <c r="F47" s="49">
        <v>0.38500000000000006</v>
      </c>
      <c r="G47" s="102">
        <v>3.8500000000000006E-3</v>
      </c>
      <c r="H47" s="102"/>
      <c r="I47" s="103" t="s">
        <v>328</v>
      </c>
      <c r="J47" s="103" t="s">
        <v>331</v>
      </c>
      <c r="K47" s="104">
        <v>13.3</v>
      </c>
      <c r="L47" s="104"/>
      <c r="M47" s="104">
        <f>IF(K47&lt;&gt;"",K47,L47)</f>
        <v>13.3</v>
      </c>
      <c r="N47" s="104">
        <v>11</v>
      </c>
      <c r="O47" s="105">
        <f>IFERROR(M47/N47-1,"-")</f>
        <v>0.20909090909090922</v>
      </c>
      <c r="P47" s="105">
        <f>IFERROR(G47/SUMIF($I$4:$I$88,I47,$G$4:$G$88),0)</f>
        <v>3.1998005319148932E-2</v>
      </c>
      <c r="Q47" s="105">
        <f>IFERROR(P47*O47,0)</f>
        <v>6.6904920212765987E-3</v>
      </c>
      <c r="AJ47" t="s">
        <v>180</v>
      </c>
      <c r="AK47" t="s">
        <v>181</v>
      </c>
      <c r="AL47" t="s">
        <v>159</v>
      </c>
      <c r="AM47">
        <v>0.41899999999999998</v>
      </c>
    </row>
    <row r="48" spans="1:39" x14ac:dyDescent="0.3">
      <c r="A48" t="str">
        <f>SUBSTITUTE(C48,"&lt;XBSP&gt;"," BZ Equity")</f>
        <v>LREN3 BZ Equity</v>
      </c>
      <c r="B48" s="48" t="str">
        <f>SUBSTITUTE(C48,"&lt;XBSP&gt;","")</f>
        <v>LREN3</v>
      </c>
      <c r="C48" s="106" t="s">
        <v>166</v>
      </c>
      <c r="D48" s="106" t="s">
        <v>167</v>
      </c>
      <c r="E48" s="107"/>
      <c r="F48" s="107">
        <v>0.38200000000000006</v>
      </c>
      <c r="G48" s="108">
        <v>3.8200000000000005E-3</v>
      </c>
      <c r="H48" s="108"/>
      <c r="I48" s="109" t="s">
        <v>339</v>
      </c>
      <c r="J48" s="109" t="s">
        <v>331</v>
      </c>
      <c r="K48" s="104">
        <v>18</v>
      </c>
      <c r="L48" s="110"/>
      <c r="M48" s="110">
        <f>IF(K48&lt;&gt;"",K48,L48)</f>
        <v>18</v>
      </c>
      <c r="N48" s="104">
        <v>9.7200000000000006</v>
      </c>
      <c r="O48" s="111">
        <f>IFERROR(M48/N48-1,"-")</f>
        <v>0.85185185185185164</v>
      </c>
      <c r="P48" s="111">
        <f>IFERROR(G48/SUMIF($I$4:$I$88,I48,$G$4:$G$88),0)</f>
        <v>0.1500392772977219</v>
      </c>
      <c r="Q48" s="111">
        <f>IFERROR(P48*O48,0)</f>
        <v>0.12781123621657789</v>
      </c>
      <c r="AJ48" t="s">
        <v>256</v>
      </c>
      <c r="AK48" t="s">
        <v>257</v>
      </c>
      <c r="AL48" t="s">
        <v>98</v>
      </c>
      <c r="AM48">
        <v>0.4</v>
      </c>
    </row>
    <row r="49" spans="1:39" x14ac:dyDescent="0.3">
      <c r="A49" t="str">
        <f>SUBSTITUTE(C49,"&lt;XBSP&gt;"," BZ Equity")</f>
        <v>SANB11 BZ Equity</v>
      </c>
      <c r="B49" s="48" t="str">
        <f>SUBSTITUTE(C49,"&lt;XBSP&gt;","")</f>
        <v>SANB11</v>
      </c>
      <c r="C49" s="48" t="s">
        <v>176</v>
      </c>
      <c r="D49" s="48" t="s">
        <v>385</v>
      </c>
      <c r="E49" s="49"/>
      <c r="F49" s="49">
        <v>0.37900000000000006</v>
      </c>
      <c r="G49" s="102">
        <v>3.7900000000000004E-3</v>
      </c>
      <c r="H49" s="102"/>
      <c r="I49" s="103" t="s">
        <v>330</v>
      </c>
      <c r="J49" s="103" t="s">
        <v>331</v>
      </c>
      <c r="K49" s="104">
        <v>44</v>
      </c>
      <c r="L49" s="104"/>
      <c r="M49" s="104">
        <f>IF(K49&lt;&gt;"",K49,L49)</f>
        <v>44</v>
      </c>
      <c r="N49" s="104">
        <v>25.87</v>
      </c>
      <c r="O49" s="105">
        <f>IFERROR(M49/N49-1,"-")</f>
        <v>0.70081175106300719</v>
      </c>
      <c r="P49" s="105">
        <f>IFERROR(G49/SUMIF($I$4:$I$88,I49,$G$4:$G$88),0)</f>
        <v>2.0564297341291372E-2</v>
      </c>
      <c r="Q49" s="105">
        <f>IFERROR(P49*O49,0)</f>
        <v>1.441170122913075E-2</v>
      </c>
      <c r="AJ49" t="s">
        <v>182</v>
      </c>
      <c r="AK49" t="s">
        <v>183</v>
      </c>
      <c r="AL49" t="s">
        <v>98</v>
      </c>
      <c r="AM49">
        <v>0.39900000000000002</v>
      </c>
    </row>
    <row r="50" spans="1:39" x14ac:dyDescent="0.3">
      <c r="A50" t="str">
        <f>SUBSTITUTE(C50,"&lt;XBSP&gt;"," BZ Equity")</f>
        <v>SMFT3 BZ Equity</v>
      </c>
      <c r="B50" s="48" t="str">
        <f>SUBSTITUTE(C50,"&lt;XBSP&gt;","")</f>
        <v>SMFT3</v>
      </c>
      <c r="C50" s="106" t="s">
        <v>303</v>
      </c>
      <c r="D50" s="106" t="s">
        <v>304</v>
      </c>
      <c r="E50" s="107"/>
      <c r="F50" s="107">
        <v>0.37700000000000006</v>
      </c>
      <c r="G50" s="108">
        <v>3.7700000000000003E-3</v>
      </c>
      <c r="H50" s="108"/>
      <c r="I50" s="109" t="s">
        <v>339</v>
      </c>
      <c r="J50" s="109" t="s">
        <v>331</v>
      </c>
      <c r="K50" s="104">
        <v>32</v>
      </c>
      <c r="L50" s="110"/>
      <c r="M50" s="110">
        <f>IF(K50&lt;&gt;"",K50,L50)</f>
        <v>32</v>
      </c>
      <c r="N50" s="104">
        <v>16.989999999999998</v>
      </c>
      <c r="O50" s="111">
        <f>IFERROR(M50/N50-1,"-")</f>
        <v>0.88346085932901719</v>
      </c>
      <c r="P50" s="111">
        <f>IFERROR(G50/SUMIF($I$4:$I$88,I50,$G$4:$G$88),0)</f>
        <v>0.14807541241162608</v>
      </c>
      <c r="Q50" s="111">
        <f>IFERROR(P50*O50,0)</f>
        <v>0.13081883109467379</v>
      </c>
      <c r="AJ50" t="s">
        <v>184</v>
      </c>
      <c r="AK50" t="s">
        <v>185</v>
      </c>
      <c r="AL50" t="s">
        <v>98</v>
      </c>
      <c r="AM50">
        <v>0.39500000000000002</v>
      </c>
    </row>
    <row r="51" spans="1:39" x14ac:dyDescent="0.3">
      <c r="A51" t="str">
        <f>SUBSTITUTE(C51,"&lt;XBSP&gt;"," BZ Equity")</f>
        <v>MULT3 BZ Equity</v>
      </c>
      <c r="B51" s="48" t="str">
        <f>SUBSTITUTE(C51,"&lt;XBSP&gt;","")</f>
        <v>MULT3</v>
      </c>
      <c r="C51" s="48" t="s">
        <v>184</v>
      </c>
      <c r="D51" s="48" t="s">
        <v>185</v>
      </c>
      <c r="E51" s="49"/>
      <c r="F51" s="49">
        <v>0.36500000000000005</v>
      </c>
      <c r="G51" s="102">
        <v>3.6500000000000005E-3</v>
      </c>
      <c r="H51" s="102"/>
      <c r="I51" s="103" t="s">
        <v>361</v>
      </c>
      <c r="J51" s="103" t="s">
        <v>331</v>
      </c>
      <c r="K51" s="104">
        <v>37</v>
      </c>
      <c r="L51" s="104"/>
      <c r="M51" s="104">
        <f>IF(K51&lt;&gt;"",K51,L51)</f>
        <v>37</v>
      </c>
      <c r="N51" s="104">
        <v>27.54</v>
      </c>
      <c r="O51" s="105">
        <f>IFERROR(M51/N51-1,"-")</f>
        <v>0.34350036310820631</v>
      </c>
      <c r="P51" s="105">
        <f>IFERROR(G51/SUMIF($I$4:$I$88,I51,$G$4:$G$88),0)</f>
        <v>0.33486238532110085</v>
      </c>
      <c r="Q51" s="105">
        <f>IFERROR(P51*O51,0)</f>
        <v>0.11502535094907823</v>
      </c>
      <c r="AJ51" t="s">
        <v>202</v>
      </c>
      <c r="AK51" t="s">
        <v>203</v>
      </c>
      <c r="AL51" t="s">
        <v>98</v>
      </c>
      <c r="AM51">
        <v>0.374</v>
      </c>
    </row>
    <row r="52" spans="1:39" x14ac:dyDescent="0.3">
      <c r="A52" t="str">
        <f>SUBSTITUTE(C52,"&lt;XBSP&gt;"," BZ Equity")</f>
        <v>TAEE11 BZ Equity</v>
      </c>
      <c r="B52" s="48" t="str">
        <f>SUBSTITUTE(C52,"&lt;XBSP&gt;","")</f>
        <v>TAEE11</v>
      </c>
      <c r="C52" s="106" t="s">
        <v>180</v>
      </c>
      <c r="D52" s="106" t="s">
        <v>181</v>
      </c>
      <c r="E52" s="107"/>
      <c r="F52" s="107">
        <v>0.35800000000000004</v>
      </c>
      <c r="G52" s="108">
        <v>3.5800000000000003E-3</v>
      </c>
      <c r="H52" s="108"/>
      <c r="I52" s="109" t="s">
        <v>363</v>
      </c>
      <c r="J52" s="109" t="s">
        <v>329</v>
      </c>
      <c r="K52" s="104">
        <v>40.546067352323668</v>
      </c>
      <c r="L52" s="110"/>
      <c r="M52" s="110">
        <f>IF(K52&lt;&gt;"",K52,L52)</f>
        <v>40.546067352323668</v>
      </c>
      <c r="N52" s="104">
        <v>40.57</v>
      </c>
      <c r="O52" s="111">
        <f>IFERROR(M52/N52-1,"-")</f>
        <v>-5.8990997476782159E-4</v>
      </c>
      <c r="P52" s="111">
        <f>IFERROR(G52/SUMIF($I$4:$I$88,I52,$G$4:$G$88),0)</f>
        <v>2.6393394278973754E-2</v>
      </c>
      <c r="Q52" s="111">
        <f>IFERROR(P52*O52,0)</f>
        <v>-1.5569726553146574E-5</v>
      </c>
      <c r="AJ52" t="s">
        <v>188</v>
      </c>
      <c r="AK52" t="s">
        <v>189</v>
      </c>
      <c r="AL52" t="s">
        <v>98</v>
      </c>
      <c r="AM52">
        <v>0.372</v>
      </c>
    </row>
    <row r="53" spans="1:39" x14ac:dyDescent="0.3">
      <c r="A53" t="str">
        <f>SUBSTITUTE(C53,"&lt;XBSP&gt;"," BZ Equity")</f>
        <v>PSSA3 BZ Equity</v>
      </c>
      <c r="B53" s="48" t="str">
        <f>SUBSTITUTE(C53,"&lt;XBSP&gt;","")</f>
        <v>PSSA3</v>
      </c>
      <c r="C53" s="48" t="s">
        <v>274</v>
      </c>
      <c r="D53" s="48"/>
      <c r="E53" s="49"/>
      <c r="F53" s="49">
        <v>0.34800000000000003</v>
      </c>
      <c r="G53" s="102">
        <v>3.4800000000000005E-3</v>
      </c>
      <c r="H53" s="102"/>
      <c r="I53" s="103"/>
      <c r="J53" s="103"/>
      <c r="K53" s="104"/>
      <c r="L53" s="104">
        <v>56.666667938232422</v>
      </c>
      <c r="M53" s="104">
        <f>IF(K53&lt;&gt;"",K53,L53)</f>
        <v>56.666667938232422</v>
      </c>
      <c r="N53" s="104">
        <v>48.1</v>
      </c>
      <c r="O53" s="105">
        <f>IFERROR(M53/N53-1,"-")</f>
        <v>0.17810120453705647</v>
      </c>
      <c r="P53" s="105">
        <f>IFERROR(G53/SUMIF($I$4:$I$88,I53,$G$4:$G$88),0)</f>
        <v>0</v>
      </c>
      <c r="Q53" s="105">
        <f>IFERROR(P53*O53,0)</f>
        <v>0</v>
      </c>
      <c r="AJ53" t="s">
        <v>274</v>
      </c>
      <c r="AK53" t="s">
        <v>275</v>
      </c>
      <c r="AL53" t="s">
        <v>98</v>
      </c>
      <c r="AM53">
        <v>0.35499999999999998</v>
      </c>
    </row>
    <row r="54" spans="1:39" x14ac:dyDescent="0.3">
      <c r="A54" t="str">
        <f>SUBSTITUTE(C54,"&lt;XBSP&gt;"," BZ Equity")</f>
        <v>CPFE3 BZ Equity</v>
      </c>
      <c r="B54" s="48" t="str">
        <f>SUBSTITUTE(C54,"&lt;XBSP&gt;","")</f>
        <v>CPFE3</v>
      </c>
      <c r="C54" s="106" t="s">
        <v>188</v>
      </c>
      <c r="D54" s="106" t="s">
        <v>189</v>
      </c>
      <c r="E54" s="107"/>
      <c r="F54" s="107">
        <v>0.32400000000000007</v>
      </c>
      <c r="G54" s="108">
        <v>3.2400000000000007E-3</v>
      </c>
      <c r="H54" s="108"/>
      <c r="I54" s="109" t="s">
        <v>363</v>
      </c>
      <c r="J54" s="109" t="s">
        <v>335</v>
      </c>
      <c r="K54" s="104">
        <v>51.249943424500422</v>
      </c>
      <c r="L54" s="110"/>
      <c r="M54" s="110">
        <f>IF(K54&lt;&gt;"",K54,L54)</f>
        <v>51.249943424500422</v>
      </c>
      <c r="N54" s="104">
        <v>43.69</v>
      </c>
      <c r="O54" s="111">
        <f>IFERROR(M54/N54-1,"-")</f>
        <v>0.17303601337835728</v>
      </c>
      <c r="P54" s="111">
        <f>IFERROR(G54/SUMIF($I$4:$I$88,I54,$G$4:$G$88),0)</f>
        <v>2.3886759068121502E-2</v>
      </c>
      <c r="Q54" s="111">
        <f>IFERROR(P54*O54,0)</f>
        <v>4.1332695616770696E-3</v>
      </c>
      <c r="AJ54" t="s">
        <v>168</v>
      </c>
      <c r="AK54" t="s">
        <v>169</v>
      </c>
      <c r="AL54" t="s">
        <v>98</v>
      </c>
      <c r="AM54">
        <v>0.31900000000000001</v>
      </c>
    </row>
    <row r="55" spans="1:39" x14ac:dyDescent="0.3">
      <c r="A55" t="str">
        <f>SUBSTITUTE(C55,"&lt;XBSP&gt;"," BZ Equity")</f>
        <v>CMIN3 BZ Equity</v>
      </c>
      <c r="B55" s="48" t="str">
        <f>SUBSTITUTE(C55,"&lt;XBSP&gt;","")</f>
        <v>CMIN3</v>
      </c>
      <c r="C55" s="48" t="s">
        <v>182</v>
      </c>
      <c r="D55" s="48" t="s">
        <v>386</v>
      </c>
      <c r="E55" s="49"/>
      <c r="F55" s="49">
        <v>0.29800000000000004</v>
      </c>
      <c r="G55" s="102">
        <v>2.9800000000000004E-3</v>
      </c>
      <c r="H55" s="102"/>
      <c r="I55" s="103" t="s">
        <v>328</v>
      </c>
      <c r="J55" s="103" t="s">
        <v>329</v>
      </c>
      <c r="K55" s="104">
        <v>6.5</v>
      </c>
      <c r="L55" s="104"/>
      <c r="M55" s="104">
        <f>IF(K55&lt;&gt;"",K55,L55)</f>
        <v>6.5</v>
      </c>
      <c r="N55" s="104">
        <v>4.5599999999999996</v>
      </c>
      <c r="O55" s="105">
        <f>IFERROR(M55/N55-1,"-")</f>
        <v>0.42543859649122817</v>
      </c>
      <c r="P55" s="105">
        <f>IFERROR(G55/SUMIF($I$4:$I$88,I55,$G$4:$G$88),0)</f>
        <v>2.4767287234042552E-2</v>
      </c>
      <c r="Q55" s="105">
        <f>IFERROR(P55*O55,0)</f>
        <v>1.0536959919746175E-2</v>
      </c>
      <c r="AJ55" t="s">
        <v>194</v>
      </c>
      <c r="AK55" t="s">
        <v>195</v>
      </c>
      <c r="AL55" t="s">
        <v>98</v>
      </c>
      <c r="AM55">
        <v>0.3</v>
      </c>
    </row>
    <row r="56" spans="1:39" x14ac:dyDescent="0.3">
      <c r="A56" t="str">
        <f>SUBSTITUTE(C56,"&lt;XBSP&gt;"," BZ Equity")</f>
        <v>CSAN3 BZ Equity</v>
      </c>
      <c r="B56" s="48" t="str">
        <f>SUBSTITUTE(C56,"&lt;XBSP&gt;","")</f>
        <v>CSAN3</v>
      </c>
      <c r="C56" s="106" t="s">
        <v>146</v>
      </c>
      <c r="D56" s="106" t="s">
        <v>147</v>
      </c>
      <c r="E56" s="107"/>
      <c r="F56" s="107">
        <v>0.25500000000000006</v>
      </c>
      <c r="G56" s="108">
        <v>2.5500000000000006E-3</v>
      </c>
      <c r="H56" s="108"/>
      <c r="I56" s="109" t="s">
        <v>332</v>
      </c>
      <c r="J56" s="109" t="s">
        <v>331</v>
      </c>
      <c r="K56" s="104">
        <v>4.5999999999999996</v>
      </c>
      <c r="L56" s="110"/>
      <c r="M56" s="110">
        <f>IF(K56&lt;&gt;"",K56,L56)</f>
        <v>4.5999999999999996</v>
      </c>
      <c r="N56" s="104">
        <v>2.68</v>
      </c>
      <c r="O56" s="111">
        <f>IFERROR(M56/N56-1,"-")</f>
        <v>0.71641791044776104</v>
      </c>
      <c r="P56" s="111">
        <f>IFERROR(G56/SUMIF($I$4:$I$88,I56,$G$4:$G$88),0)</f>
        <v>1.195275147651636E-2</v>
      </c>
      <c r="Q56" s="111">
        <f>IFERROR(P56*O56,0)</f>
        <v>8.5631652369072414E-3</v>
      </c>
      <c r="AJ56" t="s">
        <v>146</v>
      </c>
      <c r="AK56" t="s">
        <v>147</v>
      </c>
      <c r="AL56" t="s">
        <v>98</v>
      </c>
      <c r="AM56">
        <v>0.29299999999999998</v>
      </c>
    </row>
    <row r="57" spans="1:39" x14ac:dyDescent="0.3">
      <c r="A57" t="str">
        <f>SUBSTITUTE(C57,"&lt;XBSP&gt;"," BZ Equity")</f>
        <v>HYPE3 BZ Equity</v>
      </c>
      <c r="B57" s="48" t="str">
        <f>SUBSTITUTE(C57,"&lt;XBSP&gt;","")</f>
        <v>HYPE3</v>
      </c>
      <c r="C57" s="48" t="s">
        <v>168</v>
      </c>
      <c r="D57" s="48" t="s">
        <v>169</v>
      </c>
      <c r="E57" s="49"/>
      <c r="F57" s="49">
        <v>0.24600000000000005</v>
      </c>
      <c r="G57" s="102">
        <v>2.4600000000000004E-3</v>
      </c>
      <c r="H57" s="102"/>
      <c r="I57" s="103" t="s">
        <v>336</v>
      </c>
      <c r="J57" s="103" t="s">
        <v>331</v>
      </c>
      <c r="K57" s="104">
        <v>28</v>
      </c>
      <c r="L57" s="104"/>
      <c r="M57" s="104">
        <f>IF(K57&lt;&gt;"",K57,L57)</f>
        <v>28</v>
      </c>
      <c r="N57" s="104">
        <v>21.45</v>
      </c>
      <c r="O57" s="105">
        <f>IFERROR(M57/N57-1,"-")</f>
        <v>0.30536130536130535</v>
      </c>
      <c r="P57" s="105">
        <f>IFERROR(G57/SUMIF($I$4:$I$88,I57,$G$4:$G$88),0)</f>
        <v>0.11697574893009986</v>
      </c>
      <c r="Q57" s="105">
        <f>IFERROR(P57*O57,0)</f>
        <v>3.5719867388911614E-2</v>
      </c>
      <c r="AJ57" t="s">
        <v>254</v>
      </c>
      <c r="AK57" t="s">
        <v>255</v>
      </c>
      <c r="AL57" t="s">
        <v>98</v>
      </c>
      <c r="AM57">
        <v>0.28499999999999998</v>
      </c>
    </row>
    <row r="58" spans="1:39" x14ac:dyDescent="0.3">
      <c r="A58" t="str">
        <f>SUBSTITUTE(C58,"&lt;XBSP&gt;"," BZ Equity")</f>
        <v>IGTI11 BZ Equity</v>
      </c>
      <c r="B58" s="48" t="str">
        <f>SUBSTITUTE(C58,"&lt;XBSP&gt;","")</f>
        <v>IGTI11</v>
      </c>
      <c r="C58" s="106" t="s">
        <v>207</v>
      </c>
      <c r="D58" s="106" t="s">
        <v>387</v>
      </c>
      <c r="E58" s="107"/>
      <c r="F58" s="107">
        <v>0.21800000000000005</v>
      </c>
      <c r="G58" s="108">
        <v>2.1800000000000005E-3</v>
      </c>
      <c r="H58" s="108"/>
      <c r="I58" s="109" t="s">
        <v>361</v>
      </c>
      <c r="J58" s="109" t="s">
        <v>331</v>
      </c>
      <c r="K58" s="104">
        <v>35</v>
      </c>
      <c r="L58" s="110"/>
      <c r="M58" s="110">
        <f>IF(K58&lt;&gt;"",K58,L58)</f>
        <v>35</v>
      </c>
      <c r="N58" s="104">
        <v>23.86</v>
      </c>
      <c r="O58" s="111">
        <f>IFERROR(M58/N58-1,"-")</f>
        <v>0.46689019279128252</v>
      </c>
      <c r="P58" s="111">
        <f>IFERROR(G58/SUMIF($I$4:$I$88,I58,$G$4:$G$88),0)</f>
        <v>0.19999999999999998</v>
      </c>
      <c r="Q58" s="111">
        <f>IFERROR(P58*O58,0)</f>
        <v>9.3378038558256493E-2</v>
      </c>
      <c r="AJ58" t="s">
        <v>186</v>
      </c>
      <c r="AK58" t="s">
        <v>187</v>
      </c>
      <c r="AL58" t="s">
        <v>101</v>
      </c>
      <c r="AM58">
        <v>0.28499999999999998</v>
      </c>
    </row>
    <row r="59" spans="1:39" x14ac:dyDescent="0.3">
      <c r="A59" t="str">
        <f>SUBSTITUTE(C59,"&lt;XBSP&gt;"," BZ Equity")</f>
        <v>BRAV3 BZ Equity</v>
      </c>
      <c r="B59" s="48" t="str">
        <f>SUBSTITUTE(C59,"&lt;XBSP&gt;","")</f>
        <v>BRAV3</v>
      </c>
      <c r="C59" s="48" t="s">
        <v>254</v>
      </c>
      <c r="D59" s="48" t="s">
        <v>388</v>
      </c>
      <c r="E59" s="49"/>
      <c r="F59" s="49">
        <v>0.21400000000000005</v>
      </c>
      <c r="G59" s="102">
        <v>2.1400000000000004E-3</v>
      </c>
      <c r="H59" s="102"/>
      <c r="I59" s="103" t="s">
        <v>332</v>
      </c>
      <c r="J59" s="103" t="s">
        <v>331</v>
      </c>
      <c r="K59" s="104">
        <v>25</v>
      </c>
      <c r="L59" s="104"/>
      <c r="M59" s="104">
        <f>IF(K59&lt;&gt;"",K59,L59)</f>
        <v>25</v>
      </c>
      <c r="N59" s="104">
        <v>18.82</v>
      </c>
      <c r="O59" s="105">
        <f>IFERROR(M59/N59-1,"-")</f>
        <v>0.32837407013815079</v>
      </c>
      <c r="P59" s="105">
        <f>IFERROR(G59/SUMIF($I$4:$I$88,I59,$G$4:$G$88),0)</f>
        <v>1.0030936533233337E-2</v>
      </c>
      <c r="Q59" s="105">
        <f>IFERROR(P59*O59,0)</f>
        <v>3.2938994567153026E-3</v>
      </c>
      <c r="AJ59" t="s">
        <v>307</v>
      </c>
      <c r="AK59" t="s">
        <v>308</v>
      </c>
      <c r="AL59" t="s">
        <v>98</v>
      </c>
      <c r="AM59">
        <v>0.27800000000000002</v>
      </c>
    </row>
    <row r="60" spans="1:39" x14ac:dyDescent="0.3">
      <c r="A60" t="str">
        <f>SUBSTITUTE(C60,"&lt;XBSP&gt;"," BZ Equity")</f>
        <v>CYRE3 BZ Equity</v>
      </c>
      <c r="B60" s="48" t="str">
        <f>SUBSTITUTE(C60,"&lt;XBSP&gt;","")</f>
        <v>CYRE3</v>
      </c>
      <c r="C60" s="106" t="s">
        <v>202</v>
      </c>
      <c r="D60" s="106" t="s">
        <v>389</v>
      </c>
      <c r="E60" s="107"/>
      <c r="F60" s="107">
        <v>0.20400000000000001</v>
      </c>
      <c r="G60" s="108">
        <v>2.0400000000000001E-3</v>
      </c>
      <c r="H60" s="108"/>
      <c r="I60" s="109" t="s">
        <v>360</v>
      </c>
      <c r="J60" s="109" t="s">
        <v>331</v>
      </c>
      <c r="K60" s="104">
        <v>37</v>
      </c>
      <c r="L60" s="110"/>
      <c r="M60" s="110">
        <f>IF(K60&lt;&gt;"",K60,L60)</f>
        <v>37</v>
      </c>
      <c r="N60" s="104">
        <v>19.010000000000002</v>
      </c>
      <c r="O60" s="111">
        <f>IFERROR(M60/N60-1,"-")</f>
        <v>0.94634402945817975</v>
      </c>
      <c r="P60" s="111">
        <f>IFERROR(G60/SUMIF($I$4:$I$88,I60,$G$4:$G$88),0)</f>
        <v>0.30538922155688619</v>
      </c>
      <c r="Q60" s="111">
        <f>IFERROR(P60*O60,0)</f>
        <v>0.28900326648124047</v>
      </c>
      <c r="AJ60" t="s">
        <v>198</v>
      </c>
      <c r="AK60" t="s">
        <v>199</v>
      </c>
      <c r="AL60" t="s">
        <v>98</v>
      </c>
      <c r="AM60">
        <v>0.26400000000000001</v>
      </c>
    </row>
    <row r="61" spans="1:39" x14ac:dyDescent="0.3">
      <c r="A61" t="str">
        <f>SUBSTITUTE(C61,"&lt;XBSP&gt;"," BZ Equity")</f>
        <v>NATU3 BZ Equity</v>
      </c>
      <c r="B61" s="48" t="str">
        <f>SUBSTITUTE(C61,"&lt;XBSP&gt;","")</f>
        <v>NATU3</v>
      </c>
      <c r="C61" s="48" t="s">
        <v>307</v>
      </c>
      <c r="D61" s="48" t="s">
        <v>308</v>
      </c>
      <c r="E61" s="49"/>
      <c r="F61" s="49">
        <v>0.20000000000000004</v>
      </c>
      <c r="G61" s="102">
        <v>2.0000000000000005E-3</v>
      </c>
      <c r="H61" s="102"/>
      <c r="I61" s="103" t="s">
        <v>339</v>
      </c>
      <c r="J61" s="103" t="s">
        <v>331</v>
      </c>
      <c r="K61" s="104">
        <v>13.5</v>
      </c>
      <c r="L61" s="104"/>
      <c r="M61" s="104">
        <f>IF(K61&lt;&gt;"",K61,L61)</f>
        <v>13.5</v>
      </c>
      <c r="N61" s="104">
        <v>5.5</v>
      </c>
      <c r="O61" s="105">
        <f>IFERROR(M61/N61-1,"-")</f>
        <v>1.4545454545454546</v>
      </c>
      <c r="P61" s="105">
        <f>IFERROR(G61/SUMIF($I$4:$I$88,I61,$G$4:$G$88),0)</f>
        <v>7.8554595443833475E-2</v>
      </c>
      <c r="Q61" s="105">
        <f>IFERROR(P61*O61,0)</f>
        <v>0.11426122973648506</v>
      </c>
      <c r="AJ61" t="s">
        <v>178</v>
      </c>
      <c r="AK61" t="s">
        <v>179</v>
      </c>
      <c r="AL61" t="s">
        <v>98</v>
      </c>
      <c r="AM61">
        <v>0.25900000000000001</v>
      </c>
    </row>
    <row r="62" spans="1:39" x14ac:dyDescent="0.3">
      <c r="A62" t="str">
        <f>SUBSTITUTE(C62,"&lt;XBSP&gt;"," BZ Equity")</f>
        <v>BRAP4 BZ Equity</v>
      </c>
      <c r="B62" s="48" t="str">
        <f>SUBSTITUTE(C62,"&lt;XBSP&gt;","")</f>
        <v>BRAP4</v>
      </c>
      <c r="C62" s="106" t="s">
        <v>190</v>
      </c>
      <c r="D62" s="106" t="s">
        <v>191</v>
      </c>
      <c r="E62" s="107"/>
      <c r="F62" s="107">
        <v>0.19500000000000003</v>
      </c>
      <c r="G62" s="108">
        <v>1.9500000000000003E-3</v>
      </c>
      <c r="H62" s="108"/>
      <c r="I62" s="109" t="s">
        <v>328</v>
      </c>
      <c r="J62" s="109" t="s">
        <v>329</v>
      </c>
      <c r="K62" s="104">
        <v>24</v>
      </c>
      <c r="L62" s="110"/>
      <c r="M62" s="110">
        <f>IF(K62&lt;&gt;"",K62,L62)</f>
        <v>24</v>
      </c>
      <c r="N62" s="104">
        <v>18.5</v>
      </c>
      <c r="O62" s="111">
        <f>IFERROR(M62/N62-1,"-")</f>
        <v>0.29729729729729737</v>
      </c>
      <c r="P62" s="111">
        <f>IFERROR(G62/SUMIF($I$4:$I$88,I62,$G$4:$G$88),0)</f>
        <v>1.6206781914893616E-2</v>
      </c>
      <c r="Q62" s="111">
        <f>IFERROR(P62*O62,0)</f>
        <v>4.8182324611845892E-3</v>
      </c>
      <c r="AJ62" t="s">
        <v>305</v>
      </c>
      <c r="AK62" t="s">
        <v>306</v>
      </c>
      <c r="AL62" t="s">
        <v>98</v>
      </c>
      <c r="AM62">
        <v>0.25600000000000001</v>
      </c>
    </row>
    <row r="63" spans="1:39" x14ac:dyDescent="0.3">
      <c r="A63" t="str">
        <f>SUBSTITUTE(C63,"&lt;XBSP&gt;"," BZ Equity")</f>
        <v>CURY3 BZ Equity</v>
      </c>
      <c r="B63" s="48" t="str">
        <f>SUBSTITUTE(C63,"&lt;XBSP&gt;","")</f>
        <v>CURY3</v>
      </c>
      <c r="C63" s="48" t="s">
        <v>314</v>
      </c>
      <c r="D63" s="48" t="s">
        <v>390</v>
      </c>
      <c r="E63" s="49"/>
      <c r="F63" s="49">
        <v>0.17600000000000002</v>
      </c>
      <c r="G63" s="102">
        <v>1.7600000000000001E-3</v>
      </c>
      <c r="H63" s="102"/>
      <c r="I63" s="103" t="s">
        <v>360</v>
      </c>
      <c r="J63" s="103" t="s">
        <v>331</v>
      </c>
      <c r="K63" s="104">
        <v>45</v>
      </c>
      <c r="L63" s="104"/>
      <c r="M63" s="104">
        <f>IF(K63&lt;&gt;"",K63,L63)</f>
        <v>45</v>
      </c>
      <c r="N63" s="104">
        <v>28.04</v>
      </c>
      <c r="O63" s="105">
        <f>IFERROR(M63/N63-1,"-")</f>
        <v>0.60485021398002847</v>
      </c>
      <c r="P63" s="105">
        <f>IFERROR(G63/SUMIF($I$4:$I$88,I63,$G$4:$G$88),0)</f>
        <v>0.26347305389221554</v>
      </c>
      <c r="Q63" s="105">
        <f>IFERROR(P63*O63,0)</f>
        <v>0.15936173302467815</v>
      </c>
      <c r="AJ63" t="s">
        <v>151</v>
      </c>
      <c r="AK63" t="s">
        <v>152</v>
      </c>
      <c r="AL63" t="s">
        <v>98</v>
      </c>
      <c r="AM63">
        <v>0.23799999999999999</v>
      </c>
    </row>
    <row r="64" spans="1:39" x14ac:dyDescent="0.3">
      <c r="A64" t="str">
        <f>SUBSTITUTE(C64,"&lt;XBSP&gt;"," BZ Equity")</f>
        <v>COGN3 BZ Equity</v>
      </c>
      <c r="B64" s="48" t="str">
        <f>SUBSTITUTE(C64,"&lt;XBSP&gt;","")</f>
        <v>COGN3</v>
      </c>
      <c r="C64" s="106" t="s">
        <v>198</v>
      </c>
      <c r="D64" s="106" t="s">
        <v>391</v>
      </c>
      <c r="E64" s="107"/>
      <c r="F64" s="107">
        <v>0.14800000000000002</v>
      </c>
      <c r="G64" s="108">
        <v>1.4800000000000002E-3</v>
      </c>
      <c r="H64" s="108"/>
      <c r="I64" s="109" t="s">
        <v>341</v>
      </c>
      <c r="J64" s="109" t="s">
        <v>331</v>
      </c>
      <c r="K64" s="104">
        <v>3.5</v>
      </c>
      <c r="L64" s="110"/>
      <c r="M64" s="110">
        <f>IF(K64&lt;&gt;"",K64,L64)</f>
        <v>3.5</v>
      </c>
      <c r="N64" s="104">
        <v>1.9</v>
      </c>
      <c r="O64" s="111">
        <f>IFERROR(M64/N64-1,"-")</f>
        <v>0.84210526315789491</v>
      </c>
      <c r="P64" s="111">
        <f>IFERROR(G64/SUMIF($I$4:$I$88,I64,$G$4:$G$88),0)</f>
        <v>0.61924686192468625</v>
      </c>
      <c r="Q64" s="111">
        <f>IFERROR(P64*O64,0)</f>
        <v>0.5214710416207885</v>
      </c>
      <c r="AJ64" t="s">
        <v>207</v>
      </c>
      <c r="AK64" t="s">
        <v>208</v>
      </c>
      <c r="AL64" t="s">
        <v>121</v>
      </c>
      <c r="AM64">
        <v>0.23499999999999999</v>
      </c>
    </row>
    <row r="65" spans="1:39" x14ac:dyDescent="0.3">
      <c r="A65" t="str">
        <f>SUBSTITUTE(C65,"&lt;XBSP&gt;"," BZ Equity")</f>
        <v>CSNA3 BZ Equity</v>
      </c>
      <c r="B65" s="48" t="str">
        <f>SUBSTITUTE(C65,"&lt;XBSP&gt;","")</f>
        <v>CSNA3</v>
      </c>
      <c r="C65" s="48" t="s">
        <v>178</v>
      </c>
      <c r="D65" s="48" t="s">
        <v>392</v>
      </c>
      <c r="E65" s="49"/>
      <c r="F65" s="49">
        <v>0.14700000000000002</v>
      </c>
      <c r="G65" s="102">
        <v>1.4700000000000002E-3</v>
      </c>
      <c r="H65" s="102"/>
      <c r="I65" s="103" t="s">
        <v>328</v>
      </c>
      <c r="J65" s="103" t="s">
        <v>329</v>
      </c>
      <c r="K65" s="104">
        <v>7</v>
      </c>
      <c r="L65" s="104"/>
      <c r="M65" s="104">
        <f>IF(K65&lt;&gt;"",K65,L65)</f>
        <v>7</v>
      </c>
      <c r="N65" s="104">
        <v>4.76</v>
      </c>
      <c r="O65" s="105">
        <f>IFERROR(M65/N65-1,"-")</f>
        <v>0.47058823529411775</v>
      </c>
      <c r="P65" s="105">
        <f>IFERROR(G65/SUMIF($I$4:$I$88,I65,$G$4:$G$88),0)</f>
        <v>1.2217420212765956E-2</v>
      </c>
      <c r="Q65" s="105">
        <f>IFERROR(P65*O65,0)</f>
        <v>5.7493742177722159E-3</v>
      </c>
      <c r="AJ65" t="s">
        <v>314</v>
      </c>
      <c r="AK65" t="s">
        <v>315</v>
      </c>
      <c r="AL65" t="s">
        <v>98</v>
      </c>
      <c r="AM65">
        <v>0.21299999999999999</v>
      </c>
    </row>
    <row r="66" spans="1:39" x14ac:dyDescent="0.3">
      <c r="A66" t="str">
        <f>SUBSTITUTE(C66,"&lt;XBSP&gt;"," BZ Equity")</f>
        <v>AURE3 BZ Equity</v>
      </c>
      <c r="B66" s="48" t="str">
        <f>SUBSTITUTE(C66,"&lt;XBSP&gt;","")</f>
        <v>AURE3</v>
      </c>
      <c r="C66" s="106" t="s">
        <v>258</v>
      </c>
      <c r="D66" s="106" t="s">
        <v>259</v>
      </c>
      <c r="E66" s="107"/>
      <c r="F66" s="107">
        <v>0.13800000000000004</v>
      </c>
      <c r="G66" s="108">
        <v>1.3800000000000004E-3</v>
      </c>
      <c r="H66" s="108"/>
      <c r="I66" s="109" t="s">
        <v>363</v>
      </c>
      <c r="J66" s="109" t="s">
        <v>329</v>
      </c>
      <c r="K66" s="104">
        <v>13.76131036202016</v>
      </c>
      <c r="L66" s="110"/>
      <c r="M66" s="110">
        <f>IF(K66&lt;&gt;"",K66,L66)</f>
        <v>13.76131036202016</v>
      </c>
      <c r="N66" s="104">
        <v>11.09</v>
      </c>
      <c r="O66" s="111">
        <f>IFERROR(M66/N66-1,"-")</f>
        <v>0.24087559621462207</v>
      </c>
      <c r="P66" s="111">
        <f>IFERROR(G66/SUMIF($I$4:$I$88,I66,$G$4:$G$88),0)</f>
        <v>1.0173989973459158E-2</v>
      </c>
      <c r="Q66" s="111">
        <f>IFERROR(P66*O66,0)</f>
        <v>2.4506659007385617E-3</v>
      </c>
      <c r="AJ66" t="s">
        <v>276</v>
      </c>
      <c r="AK66" t="s">
        <v>277</v>
      </c>
      <c r="AL66" t="s">
        <v>101</v>
      </c>
      <c r="AM66">
        <v>0.19800000000000001</v>
      </c>
    </row>
    <row r="67" spans="1:39" x14ac:dyDescent="0.3">
      <c r="A67" t="str">
        <f>SUBSTITUTE(C67,"&lt;XBSP&gt;"," BZ Equity")</f>
        <v>USIM5 BZ Equity</v>
      </c>
      <c r="B67" s="48" t="str">
        <f>SUBSTITUTE(C67,"&lt;XBSP&gt;","")</f>
        <v>USIM5</v>
      </c>
      <c r="C67" s="48" t="s">
        <v>213</v>
      </c>
      <c r="D67" s="48" t="s">
        <v>214</v>
      </c>
      <c r="E67" s="49"/>
      <c r="F67" s="49">
        <v>0.12400000000000003</v>
      </c>
      <c r="G67" s="102">
        <v>1.2400000000000002E-3</v>
      </c>
      <c r="H67" s="102"/>
      <c r="I67" s="103" t="s">
        <v>328</v>
      </c>
      <c r="J67" s="103" t="s">
        <v>329</v>
      </c>
      <c r="K67" s="104">
        <v>8.5</v>
      </c>
      <c r="L67" s="104"/>
      <c r="M67" s="104">
        <f>IF(K67&lt;&gt;"",K67,L67)</f>
        <v>8.5</v>
      </c>
      <c r="N67" s="104">
        <v>5.69</v>
      </c>
      <c r="O67" s="105">
        <f>IFERROR(M67/N67-1,"-")</f>
        <v>0.49384885764499109</v>
      </c>
      <c r="P67" s="105">
        <f>IFERROR(G67/SUMIF($I$4:$I$88,I67,$G$4:$G$88),0)</f>
        <v>1.0305851063829786E-2</v>
      </c>
      <c r="Q67" s="105">
        <f>IFERROR(P67*O67,0)</f>
        <v>5.0895327749317558E-3</v>
      </c>
      <c r="AJ67" t="s">
        <v>190</v>
      </c>
      <c r="AK67" t="s">
        <v>191</v>
      </c>
      <c r="AL67" t="s">
        <v>101</v>
      </c>
      <c r="AM67">
        <v>0.19600000000000001</v>
      </c>
    </row>
    <row r="68" spans="1:39" x14ac:dyDescent="0.3">
      <c r="A68" t="str">
        <f>SUBSTITUTE(C68,"&lt;XBSP&gt;"," BZ Equity")</f>
        <v>POMO4 BZ Equity</v>
      </c>
      <c r="B68" s="48" t="str">
        <f>SUBSTITUTE(C68,"&lt;XBSP&gt;","")</f>
        <v>POMO4</v>
      </c>
      <c r="C68" s="106" t="s">
        <v>276</v>
      </c>
      <c r="D68" s="106" t="s">
        <v>277</v>
      </c>
      <c r="E68" s="107"/>
      <c r="F68" s="107">
        <v>0.12100000000000001</v>
      </c>
      <c r="G68" s="108">
        <v>1.2100000000000001E-3</v>
      </c>
      <c r="H68" s="108"/>
      <c r="I68" s="109" t="s">
        <v>334</v>
      </c>
      <c r="J68" s="109" t="s">
        <v>329</v>
      </c>
      <c r="K68" s="104">
        <v>5</v>
      </c>
      <c r="L68" s="110"/>
      <c r="M68" s="110">
        <f>IF(K68&lt;&gt;"",K68,L68)</f>
        <v>5</v>
      </c>
      <c r="N68" s="104">
        <v>4.0199999999999996</v>
      </c>
      <c r="O68" s="111">
        <f>IFERROR(M68/N68-1,"-")</f>
        <v>0.2437810945273633</v>
      </c>
      <c r="P68" s="111">
        <f>IFERROR(G68/SUMIF($I$4:$I$88,I68,$G$4:$G$88),0)</f>
        <v>2.1916319507335625E-2</v>
      </c>
      <c r="Q68" s="111">
        <f>IFERROR(P68*O68,0)</f>
        <v>5.3427843575096822E-3</v>
      </c>
      <c r="AJ68" t="s">
        <v>248</v>
      </c>
      <c r="AK68" t="s">
        <v>249</v>
      </c>
      <c r="AL68" t="s">
        <v>98</v>
      </c>
      <c r="AM68">
        <v>0.17399999999999999</v>
      </c>
    </row>
    <row r="69" spans="1:39" x14ac:dyDescent="0.3">
      <c r="A69" t="str">
        <f>SUBSTITUTE(C69,"&lt;XBSP&gt;"," BZ Equity")</f>
        <v>DIRR3 BZ Equity</v>
      </c>
      <c r="B69" s="48" t="str">
        <f>SUBSTITUTE(C69,"&lt;XBSP&gt;","")</f>
        <v>DIRR3</v>
      </c>
      <c r="C69" s="48" t="s">
        <v>305</v>
      </c>
      <c r="D69" s="48" t="s">
        <v>306</v>
      </c>
      <c r="E69" s="49"/>
      <c r="F69" s="49">
        <v>0.11600000000000002</v>
      </c>
      <c r="G69" s="102">
        <v>1.1600000000000002E-3</v>
      </c>
      <c r="H69" s="102"/>
      <c r="I69" s="103" t="s">
        <v>360</v>
      </c>
      <c r="J69" s="103" t="s">
        <v>331</v>
      </c>
      <c r="K69" s="104">
        <v>20</v>
      </c>
      <c r="L69" s="104"/>
      <c r="M69" s="104">
        <f>IF(K69&lt;&gt;"",K69,L69)</f>
        <v>20</v>
      </c>
      <c r="N69" s="104">
        <v>9.25</v>
      </c>
      <c r="O69" s="105">
        <f>IFERROR(M69/N69-1,"-")</f>
        <v>1.1621621621621623</v>
      </c>
      <c r="P69" s="105">
        <f>IFERROR(G69/SUMIF($I$4:$I$88,I69,$G$4:$G$88),0)</f>
        <v>0.17365269461077845</v>
      </c>
      <c r="Q69" s="105">
        <f>IFERROR(P69*O69,0)</f>
        <v>0.20181259103414795</v>
      </c>
      <c r="AJ69" t="s">
        <v>217</v>
      </c>
      <c r="AK69" t="s">
        <v>218</v>
      </c>
      <c r="AL69" t="s">
        <v>98</v>
      </c>
      <c r="AM69">
        <v>0.17100000000000001</v>
      </c>
    </row>
    <row r="70" spans="1:39" x14ac:dyDescent="0.3">
      <c r="A70" t="str">
        <f>SUBSTITUTE(C70,"&lt;XBSP&gt;"," BZ Equity")</f>
        <v>TEND3 BZ Equity</v>
      </c>
      <c r="B70" s="48" t="str">
        <f>SUBSTITUTE(C70,"&lt;XBSP&gt;","")</f>
        <v>TEND3</v>
      </c>
      <c r="C70" s="106" t="s">
        <v>393</v>
      </c>
      <c r="D70" s="106" t="s">
        <v>394</v>
      </c>
      <c r="E70" s="107"/>
      <c r="F70" s="107">
        <v>0.10000000000000002</v>
      </c>
      <c r="G70" s="108">
        <v>1.0000000000000002E-3</v>
      </c>
      <c r="H70" s="108"/>
      <c r="I70" s="109" t="s">
        <v>360</v>
      </c>
      <c r="J70" s="109" t="s">
        <v>331</v>
      </c>
      <c r="K70" s="104">
        <v>44</v>
      </c>
      <c r="L70" s="110"/>
      <c r="M70" s="110">
        <f>IF(K70&lt;&gt;"",K70,L70)</f>
        <v>44</v>
      </c>
      <c r="N70" s="104">
        <v>23.01</v>
      </c>
      <c r="O70" s="111">
        <f>IFERROR(M70/N70-1,"-")</f>
        <v>0.91221208170360701</v>
      </c>
      <c r="P70" s="111">
        <f>IFERROR(G70/SUMIF($I$4:$I$88,I70,$G$4:$G$88),0)</f>
        <v>0.14970059880239522</v>
      </c>
      <c r="Q70" s="111">
        <f>IFERROR(P70*O70,0)</f>
        <v>0.13655869486580943</v>
      </c>
      <c r="AJ70" t="s">
        <v>251</v>
      </c>
      <c r="AK70" t="s">
        <v>252</v>
      </c>
      <c r="AL70" t="s">
        <v>98</v>
      </c>
      <c r="AM70">
        <v>0.16700000000000001</v>
      </c>
    </row>
    <row r="71" spans="1:39" x14ac:dyDescent="0.3">
      <c r="A71" t="str">
        <f>SUBSTITUTE(C71,"&lt;XBSP&gt;"," BZ Equity")</f>
        <v>VIVA3 BZ Equity</v>
      </c>
      <c r="B71" s="48" t="str">
        <f>SUBSTITUTE(C71,"&lt;XBSP&gt;","")</f>
        <v>VIVA3</v>
      </c>
      <c r="C71" s="48" t="s">
        <v>248</v>
      </c>
      <c r="D71" s="48" t="s">
        <v>395</v>
      </c>
      <c r="E71" s="49"/>
      <c r="F71" s="49">
        <v>9.8000000000000018E-2</v>
      </c>
      <c r="G71" s="102">
        <v>9.8000000000000019E-4</v>
      </c>
      <c r="H71" s="102"/>
      <c r="I71" s="103" t="s">
        <v>339</v>
      </c>
      <c r="J71" s="103" t="s">
        <v>331</v>
      </c>
      <c r="K71" s="104">
        <v>35</v>
      </c>
      <c r="L71" s="104"/>
      <c r="M71" s="104">
        <f>IF(K71&lt;&gt;"",K71,L71)</f>
        <v>35</v>
      </c>
      <c r="N71" s="104">
        <v>18.79</v>
      </c>
      <c r="O71" s="105">
        <f>IFERROR(M71/N71-1,"-")</f>
        <v>0.86269292176689727</v>
      </c>
      <c r="P71" s="105">
        <f>IFERROR(G71/SUMIF($I$4:$I$88,I71,$G$4:$G$88),0)</f>
        <v>3.8491751767478398E-2</v>
      </c>
      <c r="Q71" s="105">
        <f>IFERROR(P71*O71,0)</f>
        <v>3.3206561796212071E-2</v>
      </c>
      <c r="AJ71" t="s">
        <v>258</v>
      </c>
      <c r="AK71" t="s">
        <v>259</v>
      </c>
      <c r="AL71" t="s">
        <v>98</v>
      </c>
      <c r="AM71">
        <v>0.15</v>
      </c>
    </row>
    <row r="72" spans="1:39" x14ac:dyDescent="0.3">
      <c r="A72" t="str">
        <f>SUBSTITUTE(C72,"&lt;XBSP&gt;"," BZ Equity")</f>
        <v>YDUQ3 BZ Equity</v>
      </c>
      <c r="B72" s="48" t="str">
        <f>SUBSTITUTE(C72,"&lt;XBSP&gt;","")</f>
        <v>YDUQ3</v>
      </c>
      <c r="C72" s="106" t="s">
        <v>196</v>
      </c>
      <c r="D72" s="106" t="s">
        <v>396</v>
      </c>
      <c r="E72" s="107"/>
      <c r="F72" s="107">
        <v>9.1000000000000011E-2</v>
      </c>
      <c r="G72" s="108">
        <v>9.1000000000000011E-4</v>
      </c>
      <c r="H72" s="108"/>
      <c r="I72" s="109" t="s">
        <v>341</v>
      </c>
      <c r="J72" s="109" t="s">
        <v>331</v>
      </c>
      <c r="K72" s="104">
        <v>11</v>
      </c>
      <c r="L72" s="110"/>
      <c r="M72" s="110">
        <f>IF(K72&lt;&gt;"",K72,L72)</f>
        <v>11</v>
      </c>
      <c r="N72" s="104">
        <v>9.18</v>
      </c>
      <c r="O72" s="111">
        <f>IFERROR(M72/N72-1,"-")</f>
        <v>0.1982570806100219</v>
      </c>
      <c r="P72" s="111">
        <f>IFERROR(G72/SUMIF($I$4:$I$88,I72,$G$4:$G$88),0)</f>
        <v>0.3807531380753138</v>
      </c>
      <c r="Q72" s="111">
        <f>IFERROR(P72*O72,0)</f>
        <v>7.5487005587916281E-2</v>
      </c>
      <c r="AJ72" t="s">
        <v>215</v>
      </c>
      <c r="AK72" t="s">
        <v>216</v>
      </c>
      <c r="AL72" t="s">
        <v>98</v>
      </c>
      <c r="AM72">
        <v>0.13900000000000001</v>
      </c>
    </row>
    <row r="73" spans="1:39" x14ac:dyDescent="0.3">
      <c r="A73" t="str">
        <f>SUBSTITUTE(C73,"&lt;XBSP&gt;"," BZ Equity")</f>
        <v>AZZA3 BZ Equity</v>
      </c>
      <c r="B73" s="48" t="str">
        <f>SUBSTITUTE(C73,"&lt;XBSP&gt;","")</f>
        <v>AZZA3</v>
      </c>
      <c r="C73" s="48" t="s">
        <v>251</v>
      </c>
      <c r="D73" s="48" t="s">
        <v>252</v>
      </c>
      <c r="E73" s="49"/>
      <c r="F73" s="49">
        <v>8.7000000000000008E-2</v>
      </c>
      <c r="G73" s="102">
        <v>8.7000000000000011E-4</v>
      </c>
      <c r="H73" s="102"/>
      <c r="I73" s="103" t="s">
        <v>339</v>
      </c>
      <c r="J73" s="103" t="s">
        <v>331</v>
      </c>
      <c r="K73" s="104">
        <v>40</v>
      </c>
      <c r="L73" s="104"/>
      <c r="M73" s="104">
        <f>IF(K73&lt;&gt;"",K73,L73)</f>
        <v>40</v>
      </c>
      <c r="N73" s="104">
        <v>16.600000000000001</v>
      </c>
      <c r="O73" s="105">
        <f>IFERROR(M73/N73-1,"-")</f>
        <v>1.4096385542168672</v>
      </c>
      <c r="P73" s="105">
        <f>IFERROR(G73/SUMIF($I$4:$I$88,I73,$G$4:$G$88),0)</f>
        <v>3.4171249018067555E-2</v>
      </c>
      <c r="Q73" s="105">
        <f>IFERROR(P73*O73,0)</f>
        <v>4.8169110061613292E-2</v>
      </c>
      <c r="AJ73" t="s">
        <v>192</v>
      </c>
      <c r="AK73" t="s">
        <v>193</v>
      </c>
      <c r="AL73" t="s">
        <v>98</v>
      </c>
      <c r="AM73">
        <v>0.13800000000000001</v>
      </c>
    </row>
    <row r="74" spans="1:39" x14ac:dyDescent="0.3">
      <c r="A74" t="str">
        <f>SUBSTITUTE(C74,"&lt;XBSP&gt;"," BZ Equity")</f>
        <v>MGLU3 BZ Equity</v>
      </c>
      <c r="B74" s="48" t="str">
        <f>SUBSTITUTE(C74,"&lt;XBSP&gt;","")</f>
        <v>MGLU3</v>
      </c>
      <c r="C74" s="106" t="s">
        <v>192</v>
      </c>
      <c r="D74" s="106" t="s">
        <v>397</v>
      </c>
      <c r="E74" s="107"/>
      <c r="F74" s="107">
        <v>8.3000000000000018E-2</v>
      </c>
      <c r="G74" s="108">
        <v>8.3000000000000012E-4</v>
      </c>
      <c r="H74" s="108"/>
      <c r="I74" s="109" t="s">
        <v>339</v>
      </c>
      <c r="J74" s="109" t="s">
        <v>329</v>
      </c>
      <c r="K74" s="104">
        <v>7.5</v>
      </c>
      <c r="L74" s="110"/>
      <c r="M74" s="110">
        <f>IF(K74&lt;&gt;"",K74,L74)</f>
        <v>7.5</v>
      </c>
      <c r="N74" s="104">
        <v>5.75</v>
      </c>
      <c r="O74" s="111">
        <f>IFERROR(M74/N74-1,"-")</f>
        <v>0.30434782608695654</v>
      </c>
      <c r="P74" s="111">
        <f>IFERROR(G74/SUMIF($I$4:$I$88,I74,$G$4:$G$88),0)</f>
        <v>3.260015710919089E-2</v>
      </c>
      <c r="Q74" s="111">
        <f>IFERROR(P74*O74,0)</f>
        <v>9.9217869462754887E-3</v>
      </c>
      <c r="AJ74" t="s">
        <v>196</v>
      </c>
      <c r="AK74" t="s">
        <v>197</v>
      </c>
      <c r="AL74" t="s">
        <v>98</v>
      </c>
      <c r="AM74">
        <v>0.13700000000000001</v>
      </c>
    </row>
    <row r="75" spans="1:39" x14ac:dyDescent="0.3">
      <c r="A75" t="str">
        <f>SUBSTITUTE(C75,"&lt;XBSP&gt;"," BZ Equity")</f>
        <v>MRVE3 BZ Equity</v>
      </c>
      <c r="B75" s="48" t="str">
        <f>SUBSTITUTE(C75,"&lt;XBSP&gt;","")</f>
        <v>MRVE3</v>
      </c>
      <c r="C75" s="48" t="s">
        <v>219</v>
      </c>
      <c r="D75" s="48" t="s">
        <v>220</v>
      </c>
      <c r="E75" s="49"/>
      <c r="F75" s="49">
        <v>7.2000000000000008E-2</v>
      </c>
      <c r="G75" s="102">
        <v>7.2000000000000005E-4</v>
      </c>
      <c r="H75" s="102"/>
      <c r="I75" s="103" t="s">
        <v>360</v>
      </c>
      <c r="J75" s="103" t="s">
        <v>331</v>
      </c>
      <c r="K75" s="104">
        <v>10</v>
      </c>
      <c r="L75" s="104"/>
      <c r="M75" s="104">
        <f>IF(K75&lt;&gt;"",K75,L75)</f>
        <v>10</v>
      </c>
      <c r="N75" s="104">
        <v>4.46</v>
      </c>
      <c r="O75" s="105">
        <f>IFERROR(M75/N75-1,"-")</f>
        <v>1.2421524663677128</v>
      </c>
      <c r="P75" s="105">
        <f>IFERROR(G75/SUMIF($I$4:$I$88,I75,$G$4:$G$88),0)</f>
        <v>0.10778443113772454</v>
      </c>
      <c r="Q75" s="105">
        <f>IFERROR(P75*O75,0)</f>
        <v>0.13388469697376543</v>
      </c>
      <c r="AJ75" t="s">
        <v>219</v>
      </c>
      <c r="AK75" t="s">
        <v>220</v>
      </c>
      <c r="AL75" t="s">
        <v>98</v>
      </c>
      <c r="AM75">
        <v>0.13600000000000001</v>
      </c>
    </row>
    <row r="76" spans="1:39" x14ac:dyDescent="0.3">
      <c r="A76" t="str">
        <f>SUBSTITUTE(C76,"&lt;XBSP&gt;"," BZ Equity")</f>
        <v>BEEF3 BZ Equity</v>
      </c>
      <c r="B76" s="48" t="str">
        <f>SUBSTITUTE(C76,"&lt;XBSP&gt;","")</f>
        <v>BEEF3</v>
      </c>
      <c r="C76" s="106" t="s">
        <v>222</v>
      </c>
      <c r="D76" s="106" t="s">
        <v>223</v>
      </c>
      <c r="E76" s="107"/>
      <c r="F76" s="107">
        <v>6.0000000000000005E-2</v>
      </c>
      <c r="G76" s="108">
        <v>6.0000000000000006E-4</v>
      </c>
      <c r="H76" s="108"/>
      <c r="I76" s="109" t="s">
        <v>359</v>
      </c>
      <c r="J76" s="109" t="s">
        <v>329</v>
      </c>
      <c r="K76" s="104">
        <v>7.2</v>
      </c>
      <c r="L76" s="110"/>
      <c r="M76" s="110">
        <f>IF(K76&lt;&gt;"",K76,L76)</f>
        <v>7.2</v>
      </c>
      <c r="N76" s="104">
        <v>3.19</v>
      </c>
      <c r="O76" s="111">
        <f>IFERROR(M76/N76-1,"-")</f>
        <v>1.2570532915360504</v>
      </c>
      <c r="P76" s="111">
        <f>IFERROR(G76/SUMIF($I$4:$I$88,I76,$G$4:$G$88),0)</f>
        <v>1.955671447196871E-2</v>
      </c>
      <c r="Q76" s="111">
        <f>IFERROR(P76*O76,0)</f>
        <v>2.458383229861898E-2</v>
      </c>
      <c r="AJ76" t="s">
        <v>200</v>
      </c>
      <c r="AK76" t="s">
        <v>201</v>
      </c>
      <c r="AL76" t="s">
        <v>98</v>
      </c>
      <c r="AM76">
        <v>0.129</v>
      </c>
    </row>
    <row r="77" spans="1:39" x14ac:dyDescent="0.3">
      <c r="A77" t="str">
        <f>SUBSTITUTE(C77,"&lt;XBSP&gt;"," BZ Equity")</f>
        <v>CEAB3 BZ Equity</v>
      </c>
      <c r="B77" s="48" t="str">
        <f>SUBSTITUTE(C77,"&lt;XBSP&gt;","")</f>
        <v>CEAB3</v>
      </c>
      <c r="C77" s="48" t="s">
        <v>316</v>
      </c>
      <c r="D77" s="48" t="s">
        <v>398</v>
      </c>
      <c r="E77" s="49"/>
      <c r="F77" s="49">
        <v>6.0000000000000005E-2</v>
      </c>
      <c r="G77" s="102">
        <v>6.0000000000000006E-4</v>
      </c>
      <c r="H77" s="102"/>
      <c r="I77" s="103" t="s">
        <v>339</v>
      </c>
      <c r="J77" s="103" t="s">
        <v>331</v>
      </c>
      <c r="K77" s="104">
        <v>17</v>
      </c>
      <c r="L77" s="104"/>
      <c r="M77" s="104">
        <f>IF(K77&lt;&gt;"",K77,L77)</f>
        <v>17</v>
      </c>
      <c r="N77" s="104">
        <v>7.44</v>
      </c>
      <c r="O77" s="105">
        <f>IFERROR(M77/N77-1,"-")</f>
        <v>1.2849462365591395</v>
      </c>
      <c r="P77" s="105">
        <f>IFERROR(G77/SUMIF($I$4:$I$88,I77,$G$4:$G$88),0)</f>
        <v>2.3566378633150038E-2</v>
      </c>
      <c r="Q77" s="105">
        <f>IFERROR(P77*O77,0)</f>
        <v>3.0281529533993861E-2</v>
      </c>
      <c r="AJ77" t="s">
        <v>222</v>
      </c>
      <c r="AK77" t="s">
        <v>223</v>
      </c>
      <c r="AL77" t="s">
        <v>98</v>
      </c>
      <c r="AM77">
        <v>0.123</v>
      </c>
    </row>
    <row r="78" spans="1:39" x14ac:dyDescent="0.3">
      <c r="A78" t="str">
        <f>SUBSTITUTE(C78,"&lt;XBSP&gt;"," BZ Equity")</f>
        <v>VAMO3 BZ Equity</v>
      </c>
      <c r="B78" s="48" t="str">
        <f>SUBSTITUTE(C78,"&lt;XBSP&gt;","")</f>
        <v>VAMO3</v>
      </c>
      <c r="C78" s="106" t="s">
        <v>211</v>
      </c>
      <c r="D78" s="106" t="s">
        <v>212</v>
      </c>
      <c r="E78" s="107"/>
      <c r="F78" s="107">
        <v>5.9000000000000004E-2</v>
      </c>
      <c r="G78" s="108">
        <v>5.9000000000000003E-4</v>
      </c>
      <c r="H78" s="108"/>
      <c r="I78" s="109" t="s">
        <v>337</v>
      </c>
      <c r="J78" s="109" t="s">
        <v>331</v>
      </c>
      <c r="K78" s="104">
        <v>5.6</v>
      </c>
      <c r="L78" s="110"/>
      <c r="M78" s="110">
        <f>IF(K78&lt;&gt;"",K78,L78)</f>
        <v>5.6</v>
      </c>
      <c r="N78" s="104">
        <v>2.91</v>
      </c>
      <c r="O78" s="111">
        <f>IFERROR(M78/N78-1,"-")</f>
        <v>0.92439862542955309</v>
      </c>
      <c r="P78" s="111">
        <f>IFERROR(G78/SUMIF($I$4:$I$88,I78,$G$4:$G$88),0)</f>
        <v>2.1146953405017922E-2</v>
      </c>
      <c r="Q78" s="111">
        <f>IFERROR(P78*O78,0)</f>
        <v>1.9548214659621373E-2</v>
      </c>
      <c r="AJ78" t="s">
        <v>213</v>
      </c>
      <c r="AK78" t="s">
        <v>214</v>
      </c>
      <c r="AL78" t="s">
        <v>206</v>
      </c>
      <c r="AM78">
        <v>0.10199999999999999</v>
      </c>
    </row>
    <row r="79" spans="1:39" x14ac:dyDescent="0.3">
      <c r="A79" t="str">
        <f>SUBSTITUTE(C79,"&lt;XBSP&gt;"," BZ Equity")</f>
        <v>HAPV3 BZ Equity</v>
      </c>
      <c r="B79" s="48" t="str">
        <f>SUBSTITUTE(C79,"&lt;XBSP&gt;","")</f>
        <v>HAPV3</v>
      </c>
      <c r="C79" s="48" t="s">
        <v>151</v>
      </c>
      <c r="D79" s="48"/>
      <c r="E79" s="49"/>
      <c r="F79" s="49">
        <v>4.5000000000000005E-2</v>
      </c>
      <c r="G79" s="102">
        <v>4.5000000000000004E-4</v>
      </c>
      <c r="H79" s="102"/>
      <c r="I79" s="103"/>
      <c r="J79" s="103"/>
      <c r="K79" s="104"/>
      <c r="L79" s="104">
        <v>11.149999618530273</v>
      </c>
      <c r="M79" s="104">
        <f>IF(K79&lt;&gt;"",K79,L79)</f>
        <v>11.149999618530273</v>
      </c>
      <c r="N79" s="104">
        <v>4.18</v>
      </c>
      <c r="O79" s="105">
        <f>IFERROR(M79/N79-1,"-")</f>
        <v>1.6674640235718359</v>
      </c>
      <c r="P79" s="105">
        <f>IFERROR(G79/SUMIF($I$4:$I$88,I79,$G$4:$G$88),0)</f>
        <v>0</v>
      </c>
      <c r="Q79" s="105">
        <f>IFERROR(P79*O79,0)</f>
        <v>0</v>
      </c>
      <c r="AJ79" t="s">
        <v>316</v>
      </c>
      <c r="AK79" t="s">
        <v>317</v>
      </c>
      <c r="AL79" t="s">
        <v>98</v>
      </c>
      <c r="AM79">
        <v>0.10100000000000001</v>
      </c>
    </row>
    <row r="80" spans="1:39" x14ac:dyDescent="0.3">
      <c r="B80" s="48"/>
      <c r="C80" s="106"/>
      <c r="D80" s="106"/>
      <c r="E80" s="107"/>
      <c r="F80" s="107"/>
      <c r="G80" s="108"/>
      <c r="H80" s="108"/>
      <c r="I80" s="109"/>
      <c r="J80" s="109"/>
      <c r="K80" s="104"/>
      <c r="L80" s="110"/>
      <c r="M80" s="110"/>
      <c r="N80" s="104"/>
      <c r="O80" s="111"/>
      <c r="P80" s="111"/>
      <c r="Q80" s="111"/>
      <c r="AJ80" t="s">
        <v>204</v>
      </c>
      <c r="AK80" t="s">
        <v>205</v>
      </c>
      <c r="AL80" t="s">
        <v>206</v>
      </c>
      <c r="AM80">
        <v>8.8999999999999996E-2</v>
      </c>
    </row>
    <row r="81" spans="2:39" x14ac:dyDescent="0.3">
      <c r="B81" s="48"/>
      <c r="C81" s="48"/>
      <c r="D81" s="48"/>
      <c r="E81" s="49"/>
      <c r="F81" s="49"/>
      <c r="G81" s="102"/>
      <c r="H81" s="102"/>
      <c r="I81" s="103"/>
      <c r="J81" s="103"/>
      <c r="K81" s="104"/>
      <c r="L81" s="104"/>
      <c r="M81" s="104"/>
      <c r="N81" s="104"/>
      <c r="O81" s="105"/>
      <c r="P81" s="105"/>
      <c r="Q81" s="105"/>
      <c r="AJ81" t="s">
        <v>211</v>
      </c>
      <c r="AK81" t="s">
        <v>212</v>
      </c>
      <c r="AL81" t="s">
        <v>98</v>
      </c>
      <c r="AM81">
        <v>7.3999999999999996E-2</v>
      </c>
    </row>
    <row r="82" spans="2:39" x14ac:dyDescent="0.3">
      <c r="B82" s="48"/>
      <c r="C82" s="106"/>
      <c r="D82" s="106"/>
      <c r="E82" s="107"/>
      <c r="F82" s="107"/>
      <c r="G82" s="108"/>
      <c r="H82" s="108"/>
      <c r="I82" s="109"/>
      <c r="J82" s="109"/>
      <c r="K82" s="104"/>
      <c r="L82" s="110"/>
      <c r="M82" s="110"/>
      <c r="N82" s="104"/>
      <c r="O82" s="111"/>
      <c r="P82" s="111"/>
      <c r="Q82" s="111"/>
      <c r="AJ82" t="s">
        <v>226</v>
      </c>
      <c r="AK82" t="s">
        <v>227</v>
      </c>
      <c r="AL82" t="s">
        <v>98</v>
      </c>
      <c r="AM82">
        <v>6.9000000000000006E-2</v>
      </c>
    </row>
    <row r="83" spans="2:39" x14ac:dyDescent="0.3">
      <c r="B83" s="48"/>
      <c r="C83" s="48"/>
      <c r="D83" s="48"/>
      <c r="E83" s="49"/>
      <c r="F83" s="49"/>
      <c r="G83" s="102"/>
      <c r="H83" s="102"/>
      <c r="I83" s="103"/>
      <c r="J83" s="103"/>
      <c r="K83" s="104"/>
      <c r="L83" s="104"/>
      <c r="M83" s="104"/>
      <c r="N83" s="104"/>
      <c r="O83" s="105"/>
      <c r="P83" s="105"/>
      <c r="Q83" s="105"/>
      <c r="AJ83" t="s">
        <v>209</v>
      </c>
      <c r="AK83" t="s">
        <v>210</v>
      </c>
      <c r="AL83" t="s">
        <v>101</v>
      </c>
      <c r="AM83">
        <v>4.3999999999999997E-2</v>
      </c>
    </row>
    <row r="84" spans="2:39" x14ac:dyDescent="0.3">
      <c r="B84" s="48"/>
      <c r="C84" s="106"/>
      <c r="D84" s="106"/>
      <c r="E84" s="107"/>
      <c r="F84" s="107"/>
      <c r="G84" s="108"/>
      <c r="H84" s="108"/>
      <c r="I84" s="109"/>
      <c r="J84" s="109"/>
      <c r="K84" s="104"/>
      <c r="L84" s="110"/>
      <c r="M84" s="110"/>
      <c r="N84" s="104"/>
      <c r="O84" s="111"/>
      <c r="P84" s="111"/>
      <c r="Q84" s="111"/>
      <c r="AJ84" t="s">
        <v>224</v>
      </c>
      <c r="AK84" t="s">
        <v>225</v>
      </c>
      <c r="AL84" t="s">
        <v>98</v>
      </c>
      <c r="AM84">
        <v>3.5999999999999997E-2</v>
      </c>
    </row>
    <row r="85" spans="2:39" x14ac:dyDescent="0.3">
      <c r="B85" s="48"/>
      <c r="C85" s="48"/>
      <c r="D85" s="48"/>
      <c r="E85" s="49"/>
      <c r="F85" s="49"/>
      <c r="G85" s="102"/>
      <c r="H85" s="102"/>
      <c r="I85" s="103"/>
      <c r="J85" s="103"/>
      <c r="K85" s="104"/>
      <c r="L85" s="104"/>
      <c r="M85" s="104"/>
      <c r="N85" s="104"/>
      <c r="O85" s="105"/>
      <c r="P85" s="105"/>
      <c r="Q85" s="105"/>
    </row>
    <row r="86" spans="2:39" x14ac:dyDescent="0.3">
      <c r="B86" s="48"/>
      <c r="C86" s="106"/>
      <c r="D86" s="106"/>
      <c r="E86" s="107"/>
      <c r="F86" s="107"/>
      <c r="G86" s="108"/>
      <c r="H86" s="108"/>
      <c r="I86" s="109"/>
      <c r="J86" s="109"/>
      <c r="K86" s="110"/>
      <c r="L86" s="110"/>
      <c r="M86" s="110"/>
      <c r="N86" s="110"/>
      <c r="O86" s="111"/>
      <c r="P86" s="111"/>
      <c r="Q86" s="111"/>
    </row>
    <row r="87" spans="2:39" x14ac:dyDescent="0.3">
      <c r="B87" s="48"/>
      <c r="C87" s="48"/>
      <c r="D87" s="48"/>
      <c r="E87" s="49"/>
      <c r="F87" s="49"/>
      <c r="G87" s="102"/>
      <c r="H87" s="102"/>
      <c r="I87" s="103"/>
      <c r="J87" s="103"/>
      <c r="K87" s="104"/>
      <c r="L87" s="104"/>
      <c r="M87" s="104"/>
      <c r="N87" s="104"/>
      <c r="O87" s="105"/>
      <c r="P87" s="105"/>
      <c r="Q87" s="105"/>
      <c r="R87" s="25" t="s">
        <v>240</v>
      </c>
      <c r="S87" s="137">
        <f>SUMPRODUCT(G4:G84,O4:O84)</f>
        <v>0.28113920956532795</v>
      </c>
    </row>
    <row r="88" spans="2:39" x14ac:dyDescent="0.3">
      <c r="B88" s="48"/>
      <c r="C88" s="106"/>
      <c r="D88" s="106"/>
      <c r="E88" s="107"/>
      <c r="F88" s="107"/>
      <c r="G88" s="108"/>
      <c r="H88" s="108"/>
      <c r="I88" s="109"/>
      <c r="J88" s="109"/>
      <c r="K88" s="110"/>
      <c r="L88" s="110"/>
      <c r="M88" s="110"/>
      <c r="N88" s="110"/>
      <c r="O88" s="111"/>
      <c r="P88" s="111"/>
      <c r="Q88" s="111"/>
      <c r="R88" s="27" t="s">
        <v>241</v>
      </c>
      <c r="S88" s="27" t="s">
        <v>240</v>
      </c>
    </row>
    <row r="89" spans="2:39" ht="15" thickBot="1" x14ac:dyDescent="0.35">
      <c r="B89" s="48"/>
      <c r="C89" s="48"/>
      <c r="F89" s="27"/>
      <c r="R89" s="138">
        <v>175710.05</v>
      </c>
      <c r="S89" s="139">
        <f>R89*(1+S87)</f>
        <v>225109.03456968424</v>
      </c>
    </row>
    <row r="90" spans="2:39" ht="15" thickBot="1" x14ac:dyDescent="0.35">
      <c r="B90" s="48"/>
      <c r="C90" s="48"/>
      <c r="D90" s="48"/>
      <c r="E90" s="49"/>
      <c r="F90" s="48"/>
      <c r="G90" s="102">
        <v>0.99999999999999989</v>
      </c>
      <c r="H90" s="49"/>
      <c r="I90" s="48"/>
      <c r="J90" s="48"/>
      <c r="K90" s="48"/>
      <c r="L90" s="48"/>
      <c r="M90" s="48"/>
      <c r="N90" s="49"/>
      <c r="O90" s="49"/>
      <c r="R90" s="140" t="s">
        <v>262</v>
      </c>
      <c r="S90" s="141">
        <f>S89</f>
        <v>225109.03456968424</v>
      </c>
    </row>
    <row r="91" spans="2:39" x14ac:dyDescent="0.3">
      <c r="B91" s="48"/>
      <c r="C91" s="48"/>
      <c r="D91" s="48"/>
      <c r="E91" s="49"/>
      <c r="F91" s="113"/>
      <c r="G91" s="102"/>
      <c r="H91" s="49"/>
      <c r="I91" s="48"/>
      <c r="J91" s="48"/>
      <c r="K91" s="48"/>
      <c r="L91" s="48"/>
      <c r="M91" s="48"/>
      <c r="N91" s="49"/>
      <c r="O91" s="49"/>
    </row>
    <row r="92" spans="2:39" x14ac:dyDescent="0.3">
      <c r="B92" s="48"/>
      <c r="C92" s="48"/>
      <c r="D92" s="48"/>
      <c r="E92" s="49"/>
      <c r="F92" s="113"/>
      <c r="G92" s="102"/>
      <c r="H92" s="49"/>
      <c r="I92" s="48"/>
      <c r="J92" s="48"/>
      <c r="K92" s="48"/>
      <c r="L92" s="48"/>
      <c r="M92" s="48"/>
      <c r="N92" s="49"/>
      <c r="O92" s="49"/>
      <c r="R92" s="145"/>
    </row>
    <row r="93" spans="2:39" x14ac:dyDescent="0.3">
      <c r="B93" s="48"/>
      <c r="C93" s="48"/>
      <c r="D93" s="48"/>
      <c r="E93" s="49"/>
      <c r="F93" s="113"/>
      <c r="G93" s="102"/>
      <c r="H93" s="49"/>
      <c r="I93" s="48"/>
      <c r="J93" s="48"/>
      <c r="K93" s="48"/>
      <c r="L93" s="48"/>
      <c r="M93" s="48"/>
      <c r="N93" s="49"/>
      <c r="O93" s="49"/>
      <c r="R93" s="25"/>
    </row>
    <row r="94" spans="2:39" x14ac:dyDescent="0.3">
      <c r="B94" s="48"/>
      <c r="C94" s="48"/>
      <c r="D94" s="48"/>
      <c r="E94" s="49"/>
      <c r="F94" s="113"/>
      <c r="G94" s="102"/>
      <c r="H94" s="49"/>
      <c r="I94" s="48"/>
      <c r="J94" s="48"/>
      <c r="K94" s="48"/>
      <c r="L94" s="48"/>
      <c r="M94" s="48"/>
      <c r="N94" s="49"/>
      <c r="O94" s="49"/>
    </row>
    <row r="95" spans="2:39" x14ac:dyDescent="0.3">
      <c r="B95" s="48"/>
      <c r="C95" s="48"/>
      <c r="D95" s="48"/>
      <c r="E95" s="49"/>
      <c r="F95" s="113"/>
      <c r="G95" s="102"/>
      <c r="H95" s="49"/>
      <c r="I95" s="48"/>
      <c r="J95" s="48"/>
      <c r="K95" s="48"/>
      <c r="L95" s="48"/>
      <c r="M95" s="48"/>
      <c r="N95" s="49"/>
      <c r="O95" s="49"/>
      <c r="S95" s="18"/>
    </row>
    <row r="96" spans="2:39" x14ac:dyDescent="0.3">
      <c r="B96" s="48"/>
      <c r="C96" s="48"/>
      <c r="D96" s="48"/>
      <c r="E96" s="49"/>
      <c r="F96" s="113"/>
      <c r="G96" s="102"/>
      <c r="H96" s="49"/>
      <c r="I96" s="48"/>
      <c r="J96" s="48"/>
      <c r="K96" s="48"/>
      <c r="L96" s="48"/>
      <c r="M96" s="48"/>
      <c r="N96" s="49"/>
      <c r="O96" s="49"/>
    </row>
    <row r="97" spans="2:264" x14ac:dyDescent="0.3">
      <c r="B97" s="48"/>
      <c r="C97" s="48"/>
      <c r="D97" s="48"/>
      <c r="E97" s="49"/>
      <c r="F97" s="113"/>
      <c r="G97" s="48"/>
      <c r="H97" s="49"/>
      <c r="I97" s="48"/>
      <c r="J97" s="48"/>
      <c r="K97" s="48"/>
      <c r="L97" s="48"/>
      <c r="M97" s="49"/>
      <c r="N97" s="49"/>
    </row>
    <row r="98" spans="2:264" x14ac:dyDescent="0.3">
      <c r="B98" s="48"/>
      <c r="C98" s="48"/>
      <c r="D98" s="48"/>
      <c r="E98" s="49"/>
      <c r="F98" s="48"/>
      <c r="G98" s="48"/>
      <c r="H98" s="49"/>
      <c r="I98" s="48"/>
      <c r="J98" s="48"/>
      <c r="K98" s="48"/>
      <c r="L98" s="48"/>
      <c r="M98" s="49"/>
      <c r="N98" s="49"/>
    </row>
    <row r="99" spans="2:264" x14ac:dyDescent="0.3">
      <c r="B99" s="48"/>
      <c r="C99" s="48"/>
      <c r="D99" s="48"/>
      <c r="E99" s="49"/>
      <c r="F99" s="48"/>
      <c r="G99" s="48"/>
      <c r="H99" s="49"/>
      <c r="I99" s="48"/>
      <c r="J99" s="48"/>
      <c r="K99" s="48"/>
      <c r="L99" s="48"/>
      <c r="M99" s="49"/>
      <c r="N99" s="49"/>
    </row>
    <row r="100" spans="2:264" x14ac:dyDescent="0.3">
      <c r="E100" s="27"/>
      <c r="H100" s="27"/>
      <c r="M100" s="27"/>
      <c r="N100" s="27"/>
    </row>
    <row r="101" spans="2:264" x14ac:dyDescent="0.3">
      <c r="E101" s="27"/>
      <c r="H101" s="27"/>
      <c r="M101" s="27"/>
      <c r="N101" s="27"/>
    </row>
    <row r="102" spans="2:264" x14ac:dyDescent="0.3">
      <c r="E102" s="27"/>
      <c r="H102" s="27"/>
      <c r="M102" s="27"/>
      <c r="N102" s="27"/>
    </row>
    <row r="103" spans="2:264" x14ac:dyDescent="0.3">
      <c r="E103" s="27"/>
      <c r="F103" s="2"/>
      <c r="H103" s="114"/>
      <c r="I103" s="2"/>
      <c r="J103" s="2"/>
      <c r="K103" s="2"/>
      <c r="L103" s="2"/>
      <c r="M103" s="114"/>
      <c r="N103" s="114"/>
      <c r="Q103" s="2"/>
      <c r="R103" s="2"/>
      <c r="S103" s="2"/>
      <c r="X103" s="2"/>
    </row>
    <row r="104" spans="2:264" x14ac:dyDescent="0.3">
      <c r="C104" s="2"/>
      <c r="D104" s="2"/>
      <c r="E104" s="114"/>
      <c r="F104" s="2"/>
      <c r="G104" s="2"/>
      <c r="H104" s="114"/>
      <c r="I104" s="2"/>
      <c r="J104" s="2"/>
      <c r="K104" s="2"/>
      <c r="L104" s="2"/>
      <c r="M104" s="114"/>
      <c r="N104" s="114"/>
      <c r="O104" s="2"/>
      <c r="P104" s="2"/>
      <c r="Q104" s="2"/>
      <c r="R104" s="2"/>
      <c r="S104" s="2"/>
      <c r="X104" s="2"/>
    </row>
    <row r="105" spans="2:264" x14ac:dyDescent="0.3">
      <c r="C105" s="2"/>
      <c r="D105" s="2"/>
      <c r="E105" s="114"/>
      <c r="F105" s="2"/>
      <c r="G105" s="2"/>
      <c r="H105" s="114"/>
      <c r="I105" s="2"/>
      <c r="J105" s="2"/>
      <c r="K105" s="2"/>
      <c r="L105" s="2"/>
      <c r="M105" s="114"/>
      <c r="N105" s="11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W105" s="2"/>
      <c r="CX105" s="2"/>
      <c r="CY105" s="2"/>
      <c r="CZ105" s="2"/>
      <c r="DA105" s="2"/>
      <c r="DB105" s="2"/>
      <c r="DC105" s="2"/>
      <c r="DD105" s="2"/>
      <c r="DE105" s="2"/>
      <c r="DG105" s="2"/>
      <c r="DH105" s="2"/>
      <c r="DI105" s="2"/>
      <c r="DJ105" s="2"/>
      <c r="DK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P105" s="2"/>
      <c r="IQ105" s="2"/>
      <c r="IR105" s="2"/>
      <c r="IS105" s="2"/>
      <c r="IT105" s="2"/>
      <c r="IU105" s="2"/>
      <c r="IV105" s="2"/>
      <c r="IW105" s="2"/>
      <c r="IY105" s="2"/>
      <c r="IZ105" s="2"/>
      <c r="JA105" s="2"/>
      <c r="JB105" s="2"/>
      <c r="JC105" s="2"/>
      <c r="JD105" s="2"/>
    </row>
    <row r="106" spans="2:264" x14ac:dyDescent="0.3"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W106" s="2"/>
      <c r="CX106" s="2"/>
      <c r="CY106" s="2"/>
      <c r="CZ106" s="2"/>
      <c r="DA106" s="2"/>
      <c r="DB106" s="2"/>
      <c r="DC106" s="2"/>
      <c r="DD106" s="2"/>
      <c r="DE106" s="2"/>
      <c r="DG106" s="2"/>
      <c r="DH106" s="2"/>
      <c r="DI106" s="2"/>
      <c r="DJ106" s="2"/>
      <c r="DK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P106" s="2"/>
      <c r="IQ106" s="2"/>
      <c r="IR106" s="2"/>
      <c r="IS106" s="2"/>
      <c r="IT106" s="2"/>
      <c r="IU106" s="2"/>
      <c r="IV106" s="2"/>
      <c r="IW106" s="2"/>
      <c r="IY106" s="2"/>
      <c r="IZ106" s="2"/>
      <c r="JA106" s="2"/>
      <c r="JB106" s="2"/>
      <c r="JC106" s="2"/>
      <c r="JD106" s="2"/>
    </row>
  </sheetData>
  <autoFilter ref="C3:Q84" xr:uid="{01326181-F514-494B-A6DD-022706CCBEF4}"/>
  <pageMargins left="0.7" right="0.7" top="0.75" bottom="0.75" header="0.3" footer="0.3"/>
  <headerFooter>
    <oddFooter>&amp;R_x000D_&amp;1#&amp;"Calibri"&amp;10&amp;K008000 [ CLASSIFICAÇÃO: PÚBLICA ]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A3E0-A4F8-4DC7-B197-BB2C55F31633}">
  <dimension ref="B3:R19"/>
  <sheetViews>
    <sheetView showGridLines="0" workbookViewId="0">
      <selection activeCell="F27" sqref="F27"/>
    </sheetView>
  </sheetViews>
  <sheetFormatPr defaultRowHeight="14.4" x14ac:dyDescent="0.3"/>
  <cols>
    <col min="3" max="3" width="13.77734375" customWidth="1"/>
    <col min="5" max="5" width="11.77734375" customWidth="1"/>
    <col min="6" max="6" width="12.21875" customWidth="1"/>
    <col min="7" max="7" width="13.21875" hidden="1" customWidth="1"/>
    <col min="8" max="18" width="10" bestFit="1" customWidth="1"/>
  </cols>
  <sheetData>
    <row r="3" spans="2:18" x14ac:dyDescent="0.3">
      <c r="B3" t="s">
        <v>5</v>
      </c>
      <c r="C3" s="7">
        <v>4.4999999999999998E-2</v>
      </c>
      <c r="F3" s="181" t="s">
        <v>322</v>
      </c>
      <c r="H3" s="182" t="s">
        <v>321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</row>
    <row r="4" spans="2:18" ht="18.600000000000001" customHeight="1" x14ac:dyDescent="0.3">
      <c r="B4" t="s">
        <v>320</v>
      </c>
      <c r="C4" s="7">
        <f>C6-C5</f>
        <v>7.2580489999999998E-2</v>
      </c>
      <c r="F4" s="181"/>
      <c r="H4" s="152">
        <f t="shared" ref="H4:M4" si="0">I4-0.01</f>
        <v>0.12196608418696721</v>
      </c>
      <c r="I4" s="152">
        <f t="shared" si="0"/>
        <v>0.1319660841869672</v>
      </c>
      <c r="J4" s="152">
        <f t="shared" si="0"/>
        <v>0.14196608418696721</v>
      </c>
      <c r="K4" s="152">
        <f t="shared" si="0"/>
        <v>0.15196608418696722</v>
      </c>
      <c r="L4" s="152">
        <f t="shared" si="0"/>
        <v>0.16196608418696723</v>
      </c>
      <c r="M4" s="152">
        <f t="shared" si="0"/>
        <v>0.17196608418696724</v>
      </c>
      <c r="N4" s="151">
        <f>C8/C7-1</f>
        <v>0.18196608418696725</v>
      </c>
      <c r="O4" s="151">
        <f>N4+0.01</f>
        <v>0.19196608418696726</v>
      </c>
      <c r="P4" s="151">
        <f>O4+0.01</f>
        <v>0.20196608418696727</v>
      </c>
      <c r="Q4" s="151">
        <f>P4+0.01</f>
        <v>0.21196608418696727</v>
      </c>
      <c r="R4" s="151">
        <f>Q4+0.01</f>
        <v>0.22196608418696728</v>
      </c>
    </row>
    <row r="5" spans="2:18" hidden="1" x14ac:dyDescent="0.3">
      <c r="B5" t="s">
        <v>31</v>
      </c>
      <c r="C5">
        <v>6.0999999999999999E-2</v>
      </c>
      <c r="H5" s="27">
        <f t="shared" ref="H5:P5" si="1">$C$7*(1+H4)</f>
        <v>10427.103999999999</v>
      </c>
      <c r="I5" s="27">
        <f t="shared" si="1"/>
        <v>10520.039999999999</v>
      </c>
      <c r="J5" s="27">
        <f t="shared" si="1"/>
        <v>10612.975999999999</v>
      </c>
      <c r="K5" s="27">
        <f t="shared" si="1"/>
        <v>10705.911999999998</v>
      </c>
      <c r="L5" s="27">
        <f t="shared" si="1"/>
        <v>10798.848</v>
      </c>
      <c r="M5" s="27">
        <f t="shared" si="1"/>
        <v>10891.784</v>
      </c>
      <c r="N5" s="27">
        <f t="shared" si="1"/>
        <v>10984.72</v>
      </c>
      <c r="O5" s="27">
        <f t="shared" si="1"/>
        <v>11077.655999999999</v>
      </c>
      <c r="P5" s="27">
        <f t="shared" si="1"/>
        <v>11170.591999999999</v>
      </c>
      <c r="Q5" s="27">
        <f>$C$7*(1+Q4)</f>
        <v>11263.528</v>
      </c>
      <c r="R5" s="27">
        <f>$C$7*(1+R4)</f>
        <v>11356.464</v>
      </c>
    </row>
    <row r="6" spans="2:18" x14ac:dyDescent="0.3">
      <c r="B6" t="s">
        <v>6</v>
      </c>
      <c r="C6" s="39">
        <v>0.13358049</v>
      </c>
      <c r="F6" s="153">
        <f>F7-0.005</f>
        <v>4.9580489999999998E-2</v>
      </c>
      <c r="G6" s="7">
        <f>F6+$C$5</f>
        <v>0.11058049</v>
      </c>
      <c r="H6" s="154">
        <f t="shared" ref="H6:R16" si="2">NPV($G6,H$5,$C$9,($C$9*(1+$C$3))/($G6-$C$3))</f>
        <v>212297.13708439167</v>
      </c>
      <c r="I6" s="154">
        <f t="shared" si="2"/>
        <v>212380.81944765741</v>
      </c>
      <c r="J6" s="154">
        <f t="shared" si="2"/>
        <v>212464.5018109231</v>
      </c>
      <c r="K6" s="154">
        <f t="shared" si="2"/>
        <v>212548.18417418885</v>
      </c>
      <c r="L6" s="154">
        <f t="shared" si="2"/>
        <v>212631.86653745454</v>
      </c>
      <c r="M6" s="154">
        <f t="shared" si="2"/>
        <v>212715.54890072026</v>
      </c>
      <c r="N6" s="154">
        <f t="shared" si="2"/>
        <v>212799.231263986</v>
      </c>
      <c r="O6" s="154">
        <f t="shared" si="2"/>
        <v>212882.91362725172</v>
      </c>
      <c r="P6" s="154">
        <f t="shared" si="2"/>
        <v>212966.59599051744</v>
      </c>
      <c r="Q6" s="154">
        <f t="shared" si="2"/>
        <v>213050.27835378313</v>
      </c>
      <c r="R6" s="154">
        <f t="shared" si="2"/>
        <v>213133.96071704887</v>
      </c>
    </row>
    <row r="7" spans="2:18" x14ac:dyDescent="0.3">
      <c r="B7">
        <v>2025</v>
      </c>
      <c r="C7">
        <v>9293.6</v>
      </c>
      <c r="F7" s="153">
        <f>F8-0.005</f>
        <v>5.4580489999999995E-2</v>
      </c>
      <c r="G7" s="7">
        <f>F7+$C$5</f>
        <v>0.11558048999999999</v>
      </c>
      <c r="H7" s="154">
        <f t="shared" si="2"/>
        <v>196339.88537665657</v>
      </c>
      <c r="I7" s="158">
        <f t="shared" si="2"/>
        <v>196423.19267795223</v>
      </c>
      <c r="J7" s="159">
        <f t="shared" si="2"/>
        <v>196506.49997924789</v>
      </c>
      <c r="K7" s="159">
        <f t="shared" si="2"/>
        <v>196589.80728054358</v>
      </c>
      <c r="L7" s="159">
        <f t="shared" si="2"/>
        <v>196673.11458183924</v>
      </c>
      <c r="M7" s="159">
        <f t="shared" si="2"/>
        <v>196756.4218831349</v>
      </c>
      <c r="N7" s="159">
        <f t="shared" si="2"/>
        <v>196839.72918443059</v>
      </c>
      <c r="O7" s="159">
        <f t="shared" si="2"/>
        <v>196923.03648572625</v>
      </c>
      <c r="P7" s="159">
        <f t="shared" si="2"/>
        <v>197006.34378702193</v>
      </c>
      <c r="Q7" s="160">
        <f t="shared" si="2"/>
        <v>197089.65108831759</v>
      </c>
      <c r="R7" s="154">
        <f t="shared" si="2"/>
        <v>197172.95838961325</v>
      </c>
    </row>
    <row r="8" spans="2:18" x14ac:dyDescent="0.3">
      <c r="B8">
        <v>2026</v>
      </c>
      <c r="C8">
        <v>10984.72</v>
      </c>
      <c r="F8" s="153">
        <f>F9-0.005</f>
        <v>5.9580489999999993E-2</v>
      </c>
      <c r="G8" s="7">
        <f>F8+$C$5</f>
        <v>0.12058048999999998</v>
      </c>
      <c r="H8" s="154">
        <f t="shared" si="2"/>
        <v>182513.81517376963</v>
      </c>
      <c r="I8" s="161">
        <f t="shared" si="2"/>
        <v>182596.75076012808</v>
      </c>
      <c r="J8" s="154">
        <f t="shared" si="2"/>
        <v>182679.68634648656</v>
      </c>
      <c r="K8" s="154">
        <f t="shared" si="2"/>
        <v>182762.62193284501</v>
      </c>
      <c r="L8" s="154">
        <f t="shared" si="2"/>
        <v>182845.55751920346</v>
      </c>
      <c r="M8" s="154">
        <f t="shared" si="2"/>
        <v>182928.49310556191</v>
      </c>
      <c r="N8" s="154">
        <f t="shared" si="2"/>
        <v>183011.42869192039</v>
      </c>
      <c r="O8" s="154">
        <f t="shared" si="2"/>
        <v>183094.36427827884</v>
      </c>
      <c r="P8" s="154">
        <f t="shared" si="2"/>
        <v>183177.29986463732</v>
      </c>
      <c r="Q8" s="162">
        <f t="shared" si="2"/>
        <v>183260.23545099577</v>
      </c>
      <c r="R8" s="154">
        <f t="shared" si="2"/>
        <v>183343.17103735422</v>
      </c>
    </row>
    <row r="9" spans="2:18" x14ac:dyDescent="0.3">
      <c r="B9">
        <v>2027</v>
      </c>
      <c r="C9">
        <v>16306.013759765727</v>
      </c>
      <c r="F9" s="153">
        <f>F10-0.005</f>
        <v>6.458048999999999E-2</v>
      </c>
      <c r="G9" s="7">
        <f t="shared" ref="G9:G15" si="3">F9+$C$5</f>
        <v>0.12558048999999999</v>
      </c>
      <c r="H9" s="154">
        <f t="shared" si="2"/>
        <v>170421.72755448756</v>
      </c>
      <c r="I9" s="161">
        <f t="shared" si="2"/>
        <v>170504.29472833755</v>
      </c>
      <c r="J9" s="154">
        <f t="shared" si="2"/>
        <v>170586.86190218755</v>
      </c>
      <c r="K9" s="158">
        <f t="shared" si="2"/>
        <v>170669.42907603754</v>
      </c>
      <c r="L9" s="159">
        <f t="shared" si="2"/>
        <v>170751.99624988757</v>
      </c>
      <c r="M9" s="159">
        <f t="shared" si="2"/>
        <v>170834.56342373753</v>
      </c>
      <c r="N9" s="159">
        <f t="shared" si="2"/>
        <v>170917.13059758756</v>
      </c>
      <c r="O9" s="160">
        <f t="shared" si="2"/>
        <v>170999.69777143755</v>
      </c>
      <c r="P9" s="154">
        <f t="shared" si="2"/>
        <v>171082.26494528755</v>
      </c>
      <c r="Q9" s="162">
        <f t="shared" si="2"/>
        <v>171164.83211913757</v>
      </c>
      <c r="R9" s="154">
        <f t="shared" si="2"/>
        <v>171247.39929298757</v>
      </c>
    </row>
    <row r="10" spans="2:18" ht="15" thickBot="1" x14ac:dyDescent="0.35">
      <c r="B10" t="s">
        <v>319</v>
      </c>
      <c r="C10">
        <v>192364.98216430299</v>
      </c>
      <c r="F10" s="153">
        <f>F11-0.003</f>
        <v>6.9580489999999995E-2</v>
      </c>
      <c r="G10" s="7">
        <f t="shared" si="3"/>
        <v>0.13058048999999999</v>
      </c>
      <c r="H10" s="154">
        <f t="shared" si="2"/>
        <v>159759.26142935368</v>
      </c>
      <c r="I10" s="161">
        <f t="shared" si="2"/>
        <v>159841.46344930894</v>
      </c>
      <c r="J10" s="154">
        <f t="shared" si="2"/>
        <v>159923.66546926418</v>
      </c>
      <c r="K10" s="161">
        <f t="shared" si="2"/>
        <v>160005.86748921944</v>
      </c>
      <c r="L10" s="154">
        <f t="shared" si="2"/>
        <v>160088.0695091747</v>
      </c>
      <c r="M10" s="154">
        <f>NPV($G10,M$5,$C$9,($C$9*(1+$C$3))/($G10-$C$3))</f>
        <v>160170.27152912997</v>
      </c>
      <c r="N10" s="154">
        <f t="shared" si="2"/>
        <v>160252.4735490852</v>
      </c>
      <c r="O10" s="162">
        <f t="shared" si="2"/>
        <v>160334.67556904044</v>
      </c>
      <c r="P10" s="154">
        <f t="shared" si="2"/>
        <v>160416.8775889957</v>
      </c>
      <c r="Q10" s="162">
        <f t="shared" si="2"/>
        <v>160499.07960895094</v>
      </c>
      <c r="R10" s="154">
        <f t="shared" si="2"/>
        <v>160581.28162890623</v>
      </c>
    </row>
    <row r="11" spans="2:18" ht="15" thickBot="1" x14ac:dyDescent="0.35">
      <c r="F11" s="153">
        <f>C4</f>
        <v>7.2580489999999998E-2</v>
      </c>
      <c r="G11" s="156">
        <f>F11+$C$5</f>
        <v>0.13358049</v>
      </c>
      <c r="H11" s="154">
        <f t="shared" si="2"/>
        <v>153947.11912796847</v>
      </c>
      <c r="I11" s="161">
        <f t="shared" si="2"/>
        <v>154029.10360178383</v>
      </c>
      <c r="J11" s="154">
        <f t="shared" si="2"/>
        <v>154111.08807559917</v>
      </c>
      <c r="K11" s="161">
        <f t="shared" si="2"/>
        <v>154193.07254941453</v>
      </c>
      <c r="L11" s="154">
        <f t="shared" si="2"/>
        <v>154275.05702322989</v>
      </c>
      <c r="M11" s="157">
        <f t="shared" si="2"/>
        <v>154357.04149704523</v>
      </c>
      <c r="N11" s="154">
        <f t="shared" si="2"/>
        <v>154439.02597086059</v>
      </c>
      <c r="O11" s="162">
        <f t="shared" si="2"/>
        <v>154521.01044467595</v>
      </c>
      <c r="P11" s="154">
        <f t="shared" si="2"/>
        <v>154602.99491849131</v>
      </c>
      <c r="Q11" s="162">
        <f t="shared" si="2"/>
        <v>154684.97939230665</v>
      </c>
      <c r="R11" s="154">
        <f t="shared" si="2"/>
        <v>154766.96386612201</v>
      </c>
    </row>
    <row r="12" spans="2:18" x14ac:dyDescent="0.3">
      <c r="F12" s="153">
        <f>F11+0.005</f>
        <v>7.7580490000000002E-2</v>
      </c>
      <c r="G12" s="7">
        <f t="shared" si="3"/>
        <v>0.13858049</v>
      </c>
      <c r="H12" s="154">
        <f t="shared" si="2"/>
        <v>145099.99013143557</v>
      </c>
      <c r="I12" s="161">
        <f t="shared" si="2"/>
        <v>145181.61457592258</v>
      </c>
      <c r="J12" s="154">
        <f t="shared" si="2"/>
        <v>145263.23902040962</v>
      </c>
      <c r="K12" s="161">
        <f t="shared" si="2"/>
        <v>145344.8634648966</v>
      </c>
      <c r="L12" s="154">
        <f t="shared" si="2"/>
        <v>145426.48790938364</v>
      </c>
      <c r="M12" s="154">
        <f t="shared" si="2"/>
        <v>145508.11235387065</v>
      </c>
      <c r="N12" s="154">
        <f t="shared" si="2"/>
        <v>145589.73679835763</v>
      </c>
      <c r="O12" s="162">
        <f t="shared" si="2"/>
        <v>145671.36124284466</v>
      </c>
      <c r="P12" s="154">
        <f t="shared" si="2"/>
        <v>145752.98568733167</v>
      </c>
      <c r="Q12" s="162">
        <f t="shared" si="2"/>
        <v>145834.61013181868</v>
      </c>
      <c r="R12" s="154">
        <f t="shared" si="2"/>
        <v>145916.23457630569</v>
      </c>
    </row>
    <row r="13" spans="2:18" x14ac:dyDescent="0.3">
      <c r="B13" t="s">
        <v>7</v>
      </c>
      <c r="C13" s="150">
        <f>NPV(C6,C8:C10)</f>
        <v>154439.02597086085</v>
      </c>
      <c r="F13" s="153">
        <f>F12+0.005</f>
        <v>8.2580490000000006E-2</v>
      </c>
      <c r="G13" s="7">
        <f t="shared" si="3"/>
        <v>0.14358049000000001</v>
      </c>
      <c r="H13" s="154">
        <f t="shared" si="2"/>
        <v>137163.84563080317</v>
      </c>
      <c r="I13" s="161">
        <f t="shared" si="2"/>
        <v>137245.11319422585</v>
      </c>
      <c r="J13" s="154">
        <f t="shared" si="2"/>
        <v>137326.3807576485</v>
      </c>
      <c r="K13" s="163">
        <f t="shared" si="2"/>
        <v>137407.64832107117</v>
      </c>
      <c r="L13" s="164">
        <f t="shared" si="2"/>
        <v>137488.91588449385</v>
      </c>
      <c r="M13" s="164">
        <f t="shared" si="2"/>
        <v>137570.18344791653</v>
      </c>
      <c r="N13" s="164">
        <f t="shared" si="2"/>
        <v>137651.45101133917</v>
      </c>
      <c r="O13" s="165">
        <f t="shared" si="2"/>
        <v>137732.71857476185</v>
      </c>
      <c r="P13" s="154">
        <f t="shared" si="2"/>
        <v>137813.98613818453</v>
      </c>
      <c r="Q13" s="162">
        <f t="shared" si="2"/>
        <v>137895.25370160717</v>
      </c>
      <c r="R13" s="154">
        <f t="shared" si="2"/>
        <v>137976.52126502985</v>
      </c>
    </row>
    <row r="14" spans="2:18" x14ac:dyDescent="0.3">
      <c r="F14" s="153">
        <f>F13+0.005</f>
        <v>8.7580490000000011E-2</v>
      </c>
      <c r="G14" s="7">
        <f t="shared" si="3"/>
        <v>0.14858049000000001</v>
      </c>
      <c r="H14" s="154">
        <f t="shared" si="2"/>
        <v>130006.43452822733</v>
      </c>
      <c r="I14" s="161">
        <f t="shared" si="2"/>
        <v>130087.34831773459</v>
      </c>
      <c r="J14" s="154">
        <f t="shared" si="2"/>
        <v>130168.26210724184</v>
      </c>
      <c r="K14" s="154">
        <f t="shared" si="2"/>
        <v>130249.1758967491</v>
      </c>
      <c r="L14" s="154">
        <f t="shared" si="2"/>
        <v>130330.08968625635</v>
      </c>
      <c r="M14" s="154">
        <f t="shared" si="2"/>
        <v>130411.00347576362</v>
      </c>
      <c r="N14" s="154">
        <f t="shared" si="2"/>
        <v>130491.91726527087</v>
      </c>
      <c r="O14" s="154">
        <f t="shared" si="2"/>
        <v>130572.83105477813</v>
      </c>
      <c r="P14" s="154">
        <f t="shared" si="2"/>
        <v>130653.74484428538</v>
      </c>
      <c r="Q14" s="162">
        <f t="shared" si="2"/>
        <v>130734.65863379261</v>
      </c>
      <c r="R14" s="154">
        <f t="shared" si="2"/>
        <v>130815.57242329989</v>
      </c>
    </row>
    <row r="15" spans="2:18" x14ac:dyDescent="0.3">
      <c r="F15" s="153">
        <f>F14+0.005</f>
        <v>9.2580490000000015E-2</v>
      </c>
      <c r="G15" s="7">
        <f t="shared" si="3"/>
        <v>0.15358049000000001</v>
      </c>
      <c r="H15" s="154">
        <f t="shared" si="2"/>
        <v>123519.87466345282</v>
      </c>
      <c r="I15" s="163">
        <f t="shared" si="2"/>
        <v>123600.43774579134</v>
      </c>
      <c r="J15" s="164">
        <f t="shared" si="2"/>
        <v>123681.00082812989</v>
      </c>
      <c r="K15" s="164">
        <f t="shared" si="2"/>
        <v>123761.56391046845</v>
      </c>
      <c r="L15" s="164">
        <f t="shared" si="2"/>
        <v>123842.12699280697</v>
      </c>
      <c r="M15" s="164">
        <f t="shared" si="2"/>
        <v>123922.6900751455</v>
      </c>
      <c r="N15" s="164">
        <f t="shared" si="2"/>
        <v>124003.25315748405</v>
      </c>
      <c r="O15" s="164">
        <f t="shared" si="2"/>
        <v>124083.81623982257</v>
      </c>
      <c r="P15" s="164">
        <f t="shared" si="2"/>
        <v>124164.37932216113</v>
      </c>
      <c r="Q15" s="165">
        <f t="shared" si="2"/>
        <v>124244.94240449966</v>
      </c>
      <c r="R15" s="154">
        <f t="shared" si="2"/>
        <v>124325.5054868382</v>
      </c>
    </row>
    <row r="16" spans="2:18" x14ac:dyDescent="0.3">
      <c r="F16" s="153">
        <f>F15+0.005</f>
        <v>9.758049000000002E-2</v>
      </c>
      <c r="G16" s="7">
        <f>F16+$C$5</f>
        <v>0.15858049000000002</v>
      </c>
      <c r="H16" s="154">
        <f t="shared" si="2"/>
        <v>117615.28873531807</v>
      </c>
      <c r="I16" s="154">
        <f t="shared" si="2"/>
        <v>117695.50413752977</v>
      </c>
      <c r="J16" s="154">
        <f t="shared" si="2"/>
        <v>117775.71953974151</v>
      </c>
      <c r="K16" s="154">
        <f t="shared" si="2"/>
        <v>117855.93494195321</v>
      </c>
      <c r="L16" s="154">
        <f t="shared" si="2"/>
        <v>117936.15034416494</v>
      </c>
      <c r="M16" s="154">
        <f t="shared" si="2"/>
        <v>118016.36574637666</v>
      </c>
      <c r="N16" s="154">
        <f t="shared" si="2"/>
        <v>118096.58114858839</v>
      </c>
      <c r="O16" s="154">
        <f t="shared" si="2"/>
        <v>118176.79655080009</v>
      </c>
      <c r="P16" s="154">
        <f t="shared" si="2"/>
        <v>118257.0119530118</v>
      </c>
      <c r="Q16" s="154">
        <f t="shared" si="2"/>
        <v>118337.22735522353</v>
      </c>
      <c r="R16" s="154">
        <f t="shared" si="2"/>
        <v>118417.44275743524</v>
      </c>
    </row>
    <row r="19" spans="15:15" x14ac:dyDescent="0.3">
      <c r="O19" s="155"/>
    </row>
  </sheetData>
  <dataConsolidate link="1"/>
  <mergeCells count="2">
    <mergeCell ref="F3:F4"/>
    <mergeCell ref="H3:R3"/>
  </mergeCells>
  <conditionalFormatting sqref="H6:R1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a9157b-bcf3-4eac-b03e-7cf007ba9fdf}" enabled="1" method="Privileged" siteId="{cf56e405-d2b0-4266-b210-aa04636b616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Target</vt:lpstr>
      <vt:lpstr>PORT</vt:lpstr>
      <vt:lpstr>Target (Value)</vt:lpstr>
      <vt:lpstr>Sheet1</vt:lpstr>
      <vt:lpstr>Bottom up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Figueiredo Ferreira</dc:creator>
  <cp:lastModifiedBy>Caio Lopes de Souza</cp:lastModifiedBy>
  <cp:lastPrinted>2021-08-28T19:36:17Z</cp:lastPrinted>
  <dcterms:created xsi:type="dcterms:W3CDTF">2020-11-24T21:24:51Z</dcterms:created>
  <dcterms:modified xsi:type="dcterms:W3CDTF">2026-10-28T23:40:42Z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ExcelMultiFormExcelAuto">
    <vt:lpwstr>0</vt:lpwstr>
  </property>
  <property fmtid="{D5CDD505-2E9C-101B-9397-08002B2CF9AE}" pid="4" name="AutoOpenUrl">
    <vt:lpwstr>0</vt:lpwstr>
  </property>
  <property fmtid="{D5CDD505-2E9C-101B-9397-08002B2CF9AE}" pid="5" name="AutoLoginExecuted">
    <vt:lpwstr>0</vt:lpwstr>
  </property>
  <property fmtid="{D5CDD505-2E9C-101B-9397-08002B2CF9AE}" pid="6" name="ExcelMultiForm">
    <vt:lpwstr>0</vt:lpwstr>
  </property>
  <property fmtid="{D5CDD505-2E9C-101B-9397-08002B2CF9AE}" pid="7" name="Application">
    <vt:lpwstr>0</vt:lpwstr>
  </property>
  <property fmtid="{D5CDD505-2E9C-101B-9397-08002B2CF9AE}" pid="8" name="MultiformPassword">
    <vt:lpwstr>0</vt:lpwstr>
  </property>
  <property fmtid="{D5CDD505-2E9C-101B-9397-08002B2CF9AE}" pid="9" name="InstanceCode">
    <vt:lpwstr>0</vt:lpwstr>
  </property>
  <property fmtid="{D5CDD505-2E9C-101B-9397-08002B2CF9AE}" pid="10" name="TaskCode">
    <vt:lpwstr>0</vt:lpwstr>
  </property>
  <property fmtid="{D5CDD505-2E9C-101B-9397-08002B2CF9AE}" pid="11" name="EcoUpdateId">
    <vt:lpwstr>1469987095</vt:lpwstr>
  </property>
  <property fmtid="{D5CDD505-2E9C-101B-9397-08002B2CF9AE}" pid="12" name="EcoUpdateMessage">
    <vt:lpwstr>2026/07/31-17:44:55</vt:lpwstr>
  </property>
  <property fmtid="{D5CDD505-2E9C-101B-9397-08002B2CF9AE}" pid="13" name="EcoUpdateStatus">
    <vt:lpwstr>2026-07-30=BRA:St,ME,Fd,TP;USA:St,ME,TP;ARG:St,ME,Fd,TP;MEX:St,ME,Fd,TP;CHL:St,ME,Fd;COL:St,ME;PER:St,ME,Fd;SAU:St|2021-11-17=CHL:TP|2014-02-26=VEN:St|2002-11-08=JPN:St|2026-07-29=GBR:St,ME|2016-08-18=NNN:St|2026-04-07=COL:Fd|2026-04-15=PER:TP|2007-01-31=ESP:St|2003-01-29=CHN:St|2003-01-28=TWN:St|2003-01-30=HKG:St;KOR:St|2023-01-19=OTH:St|2025-06-24=PAN:St|2024-06-24=SAU:ME</vt:lpwstr>
  </property>
  <property fmtid="{D5CDD505-2E9C-101B-9397-08002B2CF9AE}" pid="14" name="MSIP_Label_e6a9157b-bcf3-4eac-b03e-7cf007ba9fdf_Enabled">
    <vt:lpwstr>true</vt:lpwstr>
  </property>
  <property fmtid="{D5CDD505-2E9C-101B-9397-08002B2CF9AE}" pid="15" name="MSIP_Label_e6a9157b-bcf3-4eac-b03e-7cf007ba9fdf_SetDate">
    <vt:lpwstr>2024-04-30T20:28:12Z</vt:lpwstr>
  </property>
  <property fmtid="{D5CDD505-2E9C-101B-9397-08002B2CF9AE}" pid="16" name="MSIP_Label_e6a9157b-bcf3-4eac-b03e-7cf007ba9fdf_Method">
    <vt:lpwstr>Standard</vt:lpwstr>
  </property>
  <property fmtid="{D5CDD505-2E9C-101B-9397-08002B2CF9AE}" pid="17" name="MSIP_Label_e6a9157b-bcf3-4eac-b03e-7cf007ba9fdf_Name">
    <vt:lpwstr>Publica</vt:lpwstr>
  </property>
  <property fmtid="{D5CDD505-2E9C-101B-9397-08002B2CF9AE}" pid="18" name="MSIP_Label_e6a9157b-bcf3-4eac-b03e-7cf007ba9fdf_SiteId">
    <vt:lpwstr>cf56e405-d2b0-4266-b210-aa04636b6161</vt:lpwstr>
  </property>
  <property fmtid="{D5CDD505-2E9C-101B-9397-08002B2CF9AE}" pid="19" name="MSIP_Label_e6a9157b-bcf3-4eac-b03e-7cf007ba9fdf_ActionId">
    <vt:lpwstr>f9aaccf7-2a2a-41b6-9bb8-b06584640cf0</vt:lpwstr>
  </property>
  <property fmtid="{D5CDD505-2E9C-101B-9397-08002B2CF9AE}" pid="20" name="MSIP_Label_e6a9157b-bcf3-4eac-b03e-7cf007ba9fdf_ContentBits">
    <vt:lpwstr>2</vt:lpwstr>
  </property>
  <property fmtid="{D5CDD505-2E9C-101B-9397-08002B2CF9AE}" pid="21" name="SSR_MIGRATION_STATUS">
    <vt:lpwstr>2</vt:lpwstr>
  </property>
</Properties>
</file>